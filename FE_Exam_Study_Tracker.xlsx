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ダッシュボード" sheetId="1" state="visible" r:id="rId1"/>
    <sheet name="📅 日別計画・実績" sheetId="2" state="visible" r:id="rId2"/>
    <sheet name="📚 3冊の学習進捗" sheetId="3" state="visible" r:id="rId3"/>
    <sheet name="📝 模擬試験・過去問スコア" sheetId="4" state="visible" r:id="rId4"/>
    <sheet name="🔁 復習・間違いノート" sheetId="5" state="visible" r:id="rId5"/>
    <sheet name="📖 IT専門用語集" sheetId="6" state="visible" r:id="rId6"/>
    <sheet name="⚙️ 設定・祝日一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242D"/>
      <sz val="15"/>
    </font>
    <font>
      <name val="Arial"/>
      <i val="1"/>
      <color rgb="004A5568"/>
      <sz val="10"/>
    </font>
    <font>
      <name val="Arial"/>
      <color rgb="0064748B"/>
      <sz val="9"/>
    </font>
    <font>
      <name val="Arial"/>
      <b val="1"/>
      <color rgb="001E3A8A"/>
      <sz val="14"/>
    </font>
    <font>
      <name val="Arial"/>
      <b val="1"/>
      <color rgb="001E293B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EDF2F7"/>
        <bgColor rgb="00EDF2F7"/>
      </patternFill>
    </fill>
    <fill>
      <patternFill patternType="solid">
        <fgColor rgb="001F242D"/>
        <bgColor rgb="001F242D"/>
      </patternFill>
    </fill>
    <fill>
      <patternFill patternType="solid">
        <fgColor rgb="002D3748"/>
        <bgColor rgb="002D3748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pivotButton="0" quotePrefix="0" xfId="0"/>
    <xf numFmtId="0" fontId="7" fillId="6" borderId="1" applyAlignment="1" pivotButton="0" quotePrefix="0" xfId="0">
      <alignment horizontal="center" vertical="center"/>
    </xf>
    <xf numFmtId="0" fontId="7" fillId="6" borderId="1" pivotButton="0" quotePrefix="0" xfId="0"/>
    <xf numFmtId="0" fontId="8" fillId="2" borderId="0" pivotButton="0" quotePrefix="0" xfId="0"/>
    <xf numFmtId="164" fontId="7" fillId="0" borderId="1" pivotButton="0" quotePrefix="0" xfId="0"/>
    <xf numFmtId="3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50" customWidth="1" min="3" max="3"/>
    <col width="33" customWidth="1" min="4" max="4"/>
    <col width="26" customWidth="1" min="5" max="5"/>
    <col width="50" customWidth="1" min="6" max="6"/>
    <col width="26" customWidth="1" min="7" max="7"/>
    <col width="32" customWidth="1" min="8" max="8"/>
    <col width="11" customWidth="1" min="9" max="9"/>
  </cols>
  <sheetData>
    <row r="1"/>
    <row r="2">
      <c r="B2" s="1" t="inlineStr">
        <is>
          <t>基本情報技術者試験 (FE) 学習進捗管理ダッシュボード</t>
        </is>
      </c>
    </row>
    <row r="3">
      <c r="B3" s="2" t="inlineStr">
        <is>
          <t>FE Exam Master Study Dashboard &amp; Executive Readiness Engine (Syllabus Ver. 9.1)</t>
        </is>
      </c>
    </row>
    <row r="4"/>
    <row r="5">
      <c r="B5" s="3" t="inlineStr">
        <is>
          <t>総学習時間 (Giờ đã học)</t>
        </is>
      </c>
      <c r="D5" s="3" t="inlineStr">
        <is>
          <t>目標総時間 (Mục tiêu)</t>
        </is>
      </c>
      <c r="F5" s="3" t="inlineStr">
        <is>
          <t>計画達成率 (Tiến độ)</t>
        </is>
      </c>
      <c r="H5" s="3" t="inlineStr">
        <is>
          <t>週末補修時間 (Cần bù)</t>
        </is>
      </c>
    </row>
    <row r="6">
      <c r="B6" s="4">
        <f>'📅 日別計画・実績'!F5</f>
        <v/>
      </c>
      <c r="D6" s="4" t="n">
        <v>135</v>
      </c>
      <c r="F6" s="5">
        <f>B6/D6</f>
        <v/>
      </c>
      <c r="H6" s="4">
        <f>'📅 日別計画・実績'!H5</f>
        <v/>
      </c>
    </row>
    <row r="7"/>
    <row r="8"/>
    <row r="9">
      <c r="B9" s="6" t="inlineStr">
        <is>
          <t>📚 対象書籍 3冊の学習進捗サマリー (Tiến độ 3 Cuốn Sách)</t>
        </is>
      </c>
    </row>
    <row r="10">
      <c r="B10" s="7" t="inlineStr">
        <is>
          <t>書籍名 (Tên sách)</t>
        </is>
      </c>
      <c r="C10" s="7" t="inlineStr">
        <is>
          <t>対応科目 (Môn)</t>
        </is>
      </c>
      <c r="D10" s="7" t="inlineStr">
        <is>
          <t>総章数/セット (Tổng chương)</t>
        </is>
      </c>
      <c r="E10" s="7" t="inlineStr">
        <is>
          <t>完了数 (Đã xong)</t>
        </is>
      </c>
      <c r="F10" s="7" t="inlineStr">
        <is>
          <t>進捗率 (Tiến độ)</t>
        </is>
      </c>
      <c r="G10" s="7" t="inlineStr">
        <is>
          <t>スキャン状況 (Scan PDF)</t>
        </is>
      </c>
      <c r="H10" s="7" t="inlineStr">
        <is>
          <t>学習ステータス (Trạng thái)</t>
        </is>
      </c>
    </row>
    <row r="11">
      <c r="B11" s="8" t="inlineStr">
        <is>
          <t>かやのき先生の基本情報技術者教室 (Syllabus 9.1)</t>
        </is>
      </c>
      <c r="C11" s="8" t="inlineStr">
        <is>
          <t>科目A &amp; B (Lý thuyết toàn diện)</t>
        </is>
      </c>
      <c r="D11" s="9" t="n">
        <v>12</v>
      </c>
      <c r="E11" s="9">
        <f>'📚 3冊の学習進捗'!F18</f>
        <v/>
      </c>
      <c r="F11" s="10">
        <f>E11/D11</f>
        <v/>
      </c>
      <c r="G11" s="9">
        <f>'📚 3冊の学習進捗'!E18</f>
        <v/>
      </c>
      <c r="H11" s="9" t="inlineStr">
        <is>
          <t>進行中 (Đang học)</t>
        </is>
      </c>
    </row>
    <row r="12">
      <c r="B12" s="8" t="inlineStr">
        <is>
          <t>福嶋先生の集中ゼミ 科目B・アルゴリズム編</t>
        </is>
      </c>
      <c r="C12" s="8" t="inlineStr">
        <is>
          <t>科目B (Thuật toán &amp; Ngôn ngữ giả)</t>
        </is>
      </c>
      <c r="D12" s="9" t="n">
        <v>10</v>
      </c>
      <c r="E12" s="9">
        <f>'📚 3冊の学習進捗'!F31</f>
        <v/>
      </c>
      <c r="F12" s="10">
        <f>E12/D12</f>
        <v/>
      </c>
      <c r="G12" s="9">
        <f>'📚 3冊の学習進捗'!E31</f>
        <v/>
      </c>
      <c r="H12" s="9" t="inlineStr">
        <is>
          <t>進行中 (Đang học)</t>
        </is>
      </c>
    </row>
    <row r="13">
      <c r="B13" s="8" t="inlineStr">
        <is>
          <t>パーフェクトラーニング過去問題集 (R08)</t>
        </is>
      </c>
      <c r="C13" s="8" t="inlineStr">
        <is>
          <t>科目A &amp; B (4 bộ đề + 25 PDF)</t>
        </is>
      </c>
      <c r="D13" s="9" t="n">
        <v>4</v>
      </c>
      <c r="E13" s="9">
        <f>'📚 3冊の学習進捗'!F39</f>
        <v/>
      </c>
      <c r="F13" s="10">
        <f>E13/D13</f>
        <v/>
      </c>
      <c r="G13" s="9">
        <f>'📚 3冊の学習進捗'!E39</f>
        <v/>
      </c>
      <c r="H13" s="9" t="inlineStr">
        <is>
          <t>未着手 (Chưa làm)</t>
        </is>
      </c>
    </row>
    <row r="14"/>
    <row r="15">
      <c r="B15" s="6" t="inlineStr">
        <is>
          <t>🎌 日本の祝日 &amp; キックスタート休暇カレンダー (Lịch Nghỉ Lễ &amp; Kickstart)</t>
        </is>
      </c>
    </row>
    <row r="16">
      <c r="B16" s="11" t="inlineStr">
        <is>
          <t>期間 / 日付 (Ngày)</t>
        </is>
      </c>
      <c r="C16" s="11" t="inlineStr">
        <is>
          <t>祝日名・休暇名 (Tên ngày lễ)</t>
        </is>
      </c>
      <c r="D16" s="11" t="inlineStr">
        <is>
          <t>日数 (Số ngày)</t>
        </is>
      </c>
      <c r="E16" s="11" t="inlineStr">
        <is>
          <t>学習計画 (Giờ/ngày)</t>
        </is>
      </c>
      <c r="F16" s="11" t="inlineStr">
        <is>
          <t>戦略メモ (Chiến lược học tập)</t>
        </is>
      </c>
    </row>
    <row r="17">
      <c r="B17" s="9" t="inlineStr">
        <is>
          <t>2026/09/21 - 09/27</t>
        </is>
      </c>
      <c r="C17" s="12" t="inlineStr">
        <is>
          <t>★ 特別全休キックスタート週 (Nghỉ trọn tuần)</t>
        </is>
      </c>
      <c r="D17" s="9" t="inlineStr">
        <is>
          <t>7日間</t>
        </is>
      </c>
      <c r="E17" s="9" t="inlineStr">
        <is>
          <t>2.5 - 3.0h</t>
        </is>
      </c>
      <c r="F17" s="12" t="inlineStr">
        <is>
          <t>Tạo trớn ban đầu: 60% lý thuyết かやのき + 40% thuật toán 福嶋 (Ramping Cadence chống kiệt sức)</t>
        </is>
      </c>
    </row>
    <row r="18">
      <c r="B18" s="9" t="inlineStr">
        <is>
          <t>2026/10/12 (月)</t>
        </is>
      </c>
      <c r="C18" s="12" t="inlineStr">
        <is>
          <t>スポーツの日 (Sports Day)</t>
        </is>
      </c>
      <c r="D18" s="9" t="inlineStr">
        <is>
          <t>1日</t>
        </is>
      </c>
      <c r="E18" s="9" t="inlineStr">
        <is>
          <t>2.5h</t>
        </is>
      </c>
      <c r="F18" s="12" t="inlineStr">
        <is>
          <t>Luyện bài tập cấu trúc dữ liệu &amp; thuật toán tìm kiếm</t>
        </is>
      </c>
    </row>
    <row r="19">
      <c r="B19" s="9" t="inlineStr">
        <is>
          <t>2026/11/03 (火)</t>
        </is>
      </c>
      <c r="C19" s="12" t="inlineStr">
        <is>
          <t>文化の日 (Culture Day)</t>
        </is>
      </c>
      <c r="D19" s="9" t="inlineStr">
        <is>
          <t>1日</t>
        </is>
      </c>
      <c r="E19" s="9" t="inlineStr">
        <is>
          <t>2.5h</t>
        </is>
      </c>
      <c r="F19" s="12" t="inlineStr">
        <is>
          <t>Ôn tập chuyên đề Cơ sở dữ liệu &amp; Mạng máy tính</t>
        </is>
      </c>
    </row>
    <row r="20">
      <c r="B20" s="9" t="inlineStr">
        <is>
          <t>2026/11/23 (月)</t>
        </is>
      </c>
      <c r="C20" s="12" t="inlineStr">
        <is>
          <t>勤労感謝の日 (Labor Thanksgiving)</t>
        </is>
      </c>
      <c r="D20" s="9" t="inlineStr">
        <is>
          <t>1日</t>
        </is>
      </c>
      <c r="E20" s="9" t="inlineStr">
        <is>
          <t>2.5h</t>
        </is>
      </c>
      <c r="F20" s="12" t="inlineStr">
        <is>
          <t>Chuyên đề An toàn thông tin &amp; Giải đề thi thử số 1</t>
        </is>
      </c>
    </row>
    <row r="21">
      <c r="B21" s="9" t="inlineStr">
        <is>
          <t>2026/12/28 - 2027/01/03</t>
        </is>
      </c>
      <c r="C21" s="12" t="inlineStr">
        <is>
          <t>年末年始休暇 (Nghỉ Tết Dương Lịch)</t>
        </is>
      </c>
      <c r="D21" s="9" t="inlineStr">
        <is>
          <t>7日間</t>
        </is>
      </c>
      <c r="E21" s="9" t="inlineStr">
        <is>
          <t>3.0 - 4.0h</t>
        </is>
      </c>
      <c r="F21" s="12" t="inlineStr">
        <is>
          <t>TỔNG ÔN BỨT TỐC: Giải đề thi quá khứ R05, R06, R07 + Phân tích câu sai</t>
        </is>
      </c>
    </row>
    <row r="22">
      <c r="B22" s="9" t="inlineStr">
        <is>
          <t>2027/01/11 (月)</t>
        </is>
      </c>
      <c r="C22" s="12" t="inlineStr">
        <is>
          <t>成人の日 (Coming of Age Day)</t>
        </is>
      </c>
      <c r="D22" s="9" t="inlineStr">
        <is>
          <t>1日</t>
        </is>
      </c>
      <c r="E22" s="9" t="inlineStr">
        <is>
          <t>3.0h</t>
        </is>
      </c>
      <c r="F22" s="12" t="inlineStr">
        <is>
          <t>Tổng duyệt đề thi thử R08 trước thềm đăng ký thi chính thức</t>
        </is>
      </c>
    </row>
  </sheetData>
  <mergeCells count="8">
    <mergeCell ref="D6:E6"/>
    <mergeCell ref="B6:C6"/>
    <mergeCell ref="H6:I6"/>
    <mergeCell ref="B5:C5"/>
    <mergeCell ref="F5:G5"/>
    <mergeCell ref="D5:E5"/>
    <mergeCell ref="F6:G6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5" customWidth="1" min="3" max="3"/>
    <col width="22" customWidth="1" min="4" max="4"/>
    <col width="16" customWidth="1" min="5" max="5"/>
    <col width="16" customWidth="1" min="6" max="6"/>
    <col width="13" customWidth="1" min="7" max="7"/>
    <col width="24" customWidth="1" min="8" max="8"/>
    <col width="25" customWidth="1" min="9" max="9"/>
    <col width="19" customWidth="1" min="10" max="10"/>
    <col width="50" customWidth="1" min="11" max="11"/>
    <col width="17" customWidth="1" min="12" max="12"/>
    <col width="11" customWidth="1" min="13" max="13"/>
    <col width="16" customWidth="1" min="14" max="14"/>
    <col width="41" customWidth="1" min="15" max="15"/>
  </cols>
  <sheetData>
    <row r="1"/>
    <row r="2">
      <c r="B2" s="1" t="inlineStr">
        <is>
          <t>日別学習計画・実績ログ (Daily Study Schedule &amp; Actual Log)</t>
        </is>
      </c>
    </row>
    <row r="3">
      <c r="B3" s="2" t="inlineStr">
        <is>
          <t>Bắt đầu: 2026/09/21 | Tự động tính giờ bù cuối tuần (Weekend Catch-up Buffer) &amp; Phân bổ môn xen kẽ</t>
        </is>
      </c>
    </row>
    <row r="4"/>
    <row r="5">
      <c r="D5" s="13" t="inlineStr">
        <is>
          <t>合計 (Tổng cộng):</t>
        </is>
      </c>
      <c r="E5" s="14">
        <f>SUM(E8:E120)</f>
        <v/>
      </c>
      <c r="F5" s="14">
        <f>SUM(F8:F120)</f>
        <v/>
      </c>
      <c r="H5" s="14">
        <f>SUM(H8:H120)</f>
        <v/>
      </c>
    </row>
    <row r="6"/>
    <row r="7">
      <c r="B7" s="7" t="inlineStr">
        <is>
          <t>Day</t>
        </is>
      </c>
      <c r="C7" s="7" t="inlineStr">
        <is>
          <t>日付 (Ngày)</t>
        </is>
      </c>
      <c r="D7" s="7" t="inlineStr">
        <is>
          <t>曜日 (Thứ)</t>
        </is>
      </c>
      <c r="E7" s="7" t="inlineStr">
        <is>
          <t>計画時間 (h)</t>
        </is>
      </c>
      <c r="F7" s="7" t="inlineStr">
        <is>
          <t>実績時間 (h)</t>
        </is>
      </c>
      <c r="G7" s="7" t="inlineStr">
        <is>
          <t>差異 (h)</t>
        </is>
      </c>
      <c r="H7" s="7" t="inlineStr">
        <is>
          <t>週末補修 (h)</t>
        </is>
      </c>
      <c r="I7" s="7" t="inlineStr">
        <is>
          <t>区分 (Loại ngày)</t>
        </is>
      </c>
      <c r="J7" s="7" t="inlineStr">
        <is>
          <t>対象科目 (Môn)</t>
        </is>
      </c>
      <c r="K7" s="7" t="inlineStr">
        <is>
          <t>学習内容 / 書籍章 (Chương / Bài học)</t>
        </is>
      </c>
      <c r="L7" s="7" t="inlineStr">
        <is>
          <t>集中度 (1-5★)</t>
        </is>
      </c>
      <c r="M7" s="7" t="inlineStr">
        <is>
          <t>Scan確認</t>
        </is>
      </c>
      <c r="N7" s="7" t="inlineStr">
        <is>
          <t>状態 (Status)</t>
        </is>
      </c>
      <c r="O7" s="7" t="inlineStr">
        <is>
          <t>学習メモ / 気づき (Ghi chú bài học)</t>
        </is>
      </c>
    </row>
    <row r="8">
      <c r="B8" s="15" t="inlineStr">
        <is>
          <t>Day 001</t>
        </is>
      </c>
      <c r="C8" s="15" t="inlineStr">
        <is>
          <t>2026/09/21</t>
        </is>
      </c>
      <c r="D8" s="15" t="inlineStr">
        <is>
          <t>月 (T2)</t>
        </is>
      </c>
      <c r="E8" s="15" t="n">
        <v>2.5</v>
      </c>
      <c r="F8" s="15" t="n">
        <v>0</v>
      </c>
      <c r="G8" s="15">
        <f>F8-E8</f>
        <v/>
      </c>
      <c r="H8" s="15">
        <f>IF(G8&lt;0, -G8, 0)</f>
        <v/>
      </c>
      <c r="I8" s="15" t="inlineStr">
        <is>
          <t>★ 全休キックスタート</t>
        </is>
      </c>
      <c r="J8" s="15" t="inlineStr">
        <is>
          <t>科目A (かやのき)</t>
        </is>
      </c>
      <c r="K8" s="16" t="inlineStr">
        <is>
          <t>かやのき 第1章: Lý thuyết trọng tâm</t>
        </is>
      </c>
      <c r="L8" s="15" t="inlineStr"/>
      <c r="M8" s="15" t="inlineStr">
        <is>
          <t>未</t>
        </is>
      </c>
      <c r="N8" s="15" t="inlineStr">
        <is>
          <t>未着手</t>
        </is>
      </c>
      <c r="O8" s="16" t="inlineStr"/>
    </row>
    <row r="9">
      <c r="B9" s="15" t="inlineStr">
        <is>
          <t>Day 002</t>
        </is>
      </c>
      <c r="C9" s="15" t="inlineStr">
        <is>
          <t>2026/09/22</t>
        </is>
      </c>
      <c r="D9" s="15" t="inlineStr">
        <is>
          <t>火 (T3)</t>
        </is>
      </c>
      <c r="E9" s="15" t="n">
        <v>2.5</v>
      </c>
      <c r="F9" s="15" t="n">
        <v>0</v>
      </c>
      <c r="G9" s="15">
        <f>F9-E9</f>
        <v/>
      </c>
      <c r="H9" s="15">
        <f>IF(G9&lt;0, -G9, 0)</f>
        <v/>
      </c>
      <c r="I9" s="15" t="inlineStr">
        <is>
          <t>★ 全休キックスタート</t>
        </is>
      </c>
      <c r="J9" s="15" t="inlineStr">
        <is>
          <t>科目B (福嶋)</t>
        </is>
      </c>
      <c r="K9" s="16" t="inlineStr">
        <is>
          <t>福嶋 アルゴリズム 第1章: Ngôn ngữ giả &amp; Trace</t>
        </is>
      </c>
      <c r="L9" s="15" t="inlineStr"/>
      <c r="M9" s="15" t="inlineStr">
        <is>
          <t>未</t>
        </is>
      </c>
      <c r="N9" s="15" t="inlineStr">
        <is>
          <t>未着手</t>
        </is>
      </c>
      <c r="O9" s="16" t="inlineStr"/>
    </row>
    <row r="10">
      <c r="B10" s="15" t="inlineStr">
        <is>
          <t>Day 003</t>
        </is>
      </c>
      <c r="C10" s="15" t="inlineStr">
        <is>
          <t>2026/09/23</t>
        </is>
      </c>
      <c r="D10" s="15" t="inlineStr">
        <is>
          <t>水 (T4)</t>
        </is>
      </c>
      <c r="E10" s="15" t="n">
        <v>2.5</v>
      </c>
      <c r="F10" s="15" t="n">
        <v>0</v>
      </c>
      <c r="G10" s="15">
        <f>F10-E10</f>
        <v/>
      </c>
      <c r="H10" s="15">
        <f>IF(G10&lt;0, -G10, 0)</f>
        <v/>
      </c>
      <c r="I10" s="15" t="inlineStr">
        <is>
          <t>★ 全休キックスタート</t>
        </is>
      </c>
      <c r="J10" s="15" t="inlineStr">
        <is>
          <t>科目A (かやのき)</t>
        </is>
      </c>
      <c r="K10" s="16" t="inlineStr">
        <is>
          <t>かやのき 第1章: Lý thuyết trọng tâm</t>
        </is>
      </c>
      <c r="L10" s="15" t="inlineStr"/>
      <c r="M10" s="15" t="inlineStr">
        <is>
          <t>未</t>
        </is>
      </c>
      <c r="N10" s="15" t="inlineStr">
        <is>
          <t>未着手</t>
        </is>
      </c>
      <c r="O10" s="16" t="inlineStr"/>
    </row>
    <row r="11">
      <c r="B11" s="15" t="inlineStr">
        <is>
          <t>Day 004</t>
        </is>
      </c>
      <c r="C11" s="15" t="inlineStr">
        <is>
          <t>2026/09/24</t>
        </is>
      </c>
      <c r="D11" s="15" t="inlineStr">
        <is>
          <t>木 (T5)</t>
        </is>
      </c>
      <c r="E11" s="15" t="n">
        <v>2.5</v>
      </c>
      <c r="F11" s="15" t="n">
        <v>0</v>
      </c>
      <c r="G11" s="15">
        <f>F11-E11</f>
        <v/>
      </c>
      <c r="H11" s="15">
        <f>IF(G11&lt;0, -G11, 0)</f>
        <v/>
      </c>
      <c r="I11" s="15" t="inlineStr">
        <is>
          <t>★ 全休キックスタート</t>
        </is>
      </c>
      <c r="J11" s="15" t="inlineStr">
        <is>
          <t>科目B (福嶋)</t>
        </is>
      </c>
      <c r="K11" s="16" t="inlineStr">
        <is>
          <t>福嶋 アルゴリズム 第1章: Ngôn ngữ giả &amp; Trace</t>
        </is>
      </c>
      <c r="L11" s="15" t="inlineStr"/>
      <c r="M11" s="15" t="inlineStr">
        <is>
          <t>未</t>
        </is>
      </c>
      <c r="N11" s="15" t="inlineStr">
        <is>
          <t>未着手</t>
        </is>
      </c>
      <c r="O11" s="16" t="inlineStr"/>
    </row>
    <row r="12">
      <c r="B12" s="15" t="inlineStr">
        <is>
          <t>Day 005</t>
        </is>
      </c>
      <c r="C12" s="15" t="inlineStr">
        <is>
          <t>2026/09/25</t>
        </is>
      </c>
      <c r="D12" s="15" t="inlineStr">
        <is>
          <t>金 (T6)</t>
        </is>
      </c>
      <c r="E12" s="15" t="n">
        <v>2.5</v>
      </c>
      <c r="F12" s="15" t="n">
        <v>0</v>
      </c>
      <c r="G12" s="15">
        <f>F12-E12</f>
        <v/>
      </c>
      <c r="H12" s="15">
        <f>IF(G12&lt;0, -G12, 0)</f>
        <v/>
      </c>
      <c r="I12" s="15" t="inlineStr">
        <is>
          <t>★ 全休キックスタート</t>
        </is>
      </c>
      <c r="J12" s="15" t="inlineStr">
        <is>
          <t>科目A (かやのき)</t>
        </is>
      </c>
      <c r="K12" s="16" t="inlineStr">
        <is>
          <t>かやのき 第1章: Lý thuyết trọng tâm</t>
        </is>
      </c>
      <c r="L12" s="15" t="inlineStr"/>
      <c r="M12" s="15" t="inlineStr">
        <is>
          <t>未</t>
        </is>
      </c>
      <c r="N12" s="15" t="inlineStr">
        <is>
          <t>未着手</t>
        </is>
      </c>
      <c r="O12" s="16" t="inlineStr"/>
    </row>
    <row r="13">
      <c r="B13" s="15" t="inlineStr">
        <is>
          <t>Day 006</t>
        </is>
      </c>
      <c r="C13" s="15" t="inlineStr">
        <is>
          <t>2026/09/26</t>
        </is>
      </c>
      <c r="D13" s="15" t="inlineStr">
        <is>
          <t>土 (T7)</t>
        </is>
      </c>
      <c r="E13" s="15" t="n">
        <v>2.5</v>
      </c>
      <c r="F13" s="15" t="n">
        <v>0</v>
      </c>
      <c r="G13" s="15">
        <f>F13-E13</f>
        <v/>
      </c>
      <c r="H13" s="15">
        <f>IF(G13&lt;0, -G13, 0)</f>
        <v/>
      </c>
      <c r="I13" s="15" t="inlineStr">
        <is>
          <t>★ 全休キックスタート</t>
        </is>
      </c>
      <c r="J13" s="15" t="inlineStr">
        <is>
          <t>科目B (福嶋)</t>
        </is>
      </c>
      <c r="K13" s="16" t="inlineStr">
        <is>
          <t>福嶋 アルゴリズム 第1章: Ngôn ngữ giả &amp; Trace</t>
        </is>
      </c>
      <c r="L13" s="15" t="inlineStr"/>
      <c r="M13" s="15" t="inlineStr">
        <is>
          <t>未</t>
        </is>
      </c>
      <c r="N13" s="15" t="inlineStr">
        <is>
          <t>未着手</t>
        </is>
      </c>
      <c r="O13" s="16" t="inlineStr"/>
    </row>
    <row r="14">
      <c r="B14" s="15" t="inlineStr">
        <is>
          <t>Day 007</t>
        </is>
      </c>
      <c r="C14" s="15" t="inlineStr">
        <is>
          <t>2026/09/27</t>
        </is>
      </c>
      <c r="D14" s="15" t="inlineStr">
        <is>
          <t>日 (CN)</t>
        </is>
      </c>
      <c r="E14" s="15" t="n">
        <v>2.5</v>
      </c>
      <c r="F14" s="15" t="n">
        <v>0</v>
      </c>
      <c r="G14" s="15">
        <f>F14-E14</f>
        <v/>
      </c>
      <c r="H14" s="15">
        <f>IF(G14&lt;0, -G14, 0)</f>
        <v/>
      </c>
      <c r="I14" s="15" t="inlineStr">
        <is>
          <t>★ 全休キックスタート</t>
        </is>
      </c>
      <c r="J14" s="15" t="inlineStr">
        <is>
          <t>過去問・復習</t>
        </is>
      </c>
      <c r="K14" s="16" t="inlineStr">
        <is>
          <t>Tổng ôn tập tuần &amp; Luyện đề quá khứ R08</t>
        </is>
      </c>
      <c r="L14" s="15" t="inlineStr"/>
      <c r="M14" s="15" t="inlineStr">
        <is>
          <t>未</t>
        </is>
      </c>
      <c r="N14" s="15" t="inlineStr">
        <is>
          <t>未着手</t>
        </is>
      </c>
      <c r="O14" s="16" t="inlineStr"/>
    </row>
    <row r="15">
      <c r="B15" s="9" t="inlineStr">
        <is>
          <t>Day 008</t>
        </is>
      </c>
      <c r="C15" s="9" t="inlineStr">
        <is>
          <t>2026/09/28</t>
        </is>
      </c>
      <c r="D15" s="9" t="inlineStr">
        <is>
          <t>月 (T2)</t>
        </is>
      </c>
      <c r="E15" s="9" t="n">
        <v>1</v>
      </c>
      <c r="F15" s="9" t="n">
        <v>0</v>
      </c>
      <c r="G15" s="9">
        <f>F15-E15</f>
        <v/>
      </c>
      <c r="H15" s="9">
        <f>IF(G15&lt;0, -G15, 0)</f>
        <v/>
      </c>
      <c r="I15" s="9" t="inlineStr">
        <is>
          <t>平日 (Ngày thường)</t>
        </is>
      </c>
      <c r="J15" s="9" t="inlineStr">
        <is>
          <t>科目A (かやのき)</t>
        </is>
      </c>
      <c r="K15" s="8" t="inlineStr">
        <is>
          <t>かやのき 第2章: Lý thuyết trọng tâm</t>
        </is>
      </c>
      <c r="L15" s="9" t="inlineStr"/>
      <c r="M15" s="9" t="inlineStr">
        <is>
          <t>未</t>
        </is>
      </c>
      <c r="N15" s="9" t="inlineStr">
        <is>
          <t>未着手</t>
        </is>
      </c>
      <c r="O15" s="8" t="inlineStr"/>
    </row>
    <row r="16">
      <c r="B16" s="9" t="inlineStr">
        <is>
          <t>Day 009</t>
        </is>
      </c>
      <c r="C16" s="9" t="inlineStr">
        <is>
          <t>2026/09/29</t>
        </is>
      </c>
      <c r="D16" s="9" t="inlineStr">
        <is>
          <t>火 (T3)</t>
        </is>
      </c>
      <c r="E16" s="9" t="n">
        <v>1</v>
      </c>
      <c r="F16" s="9" t="n">
        <v>0</v>
      </c>
      <c r="G16" s="9">
        <f>F16-E16</f>
        <v/>
      </c>
      <c r="H16" s="9">
        <f>IF(G16&lt;0, -G16, 0)</f>
        <v/>
      </c>
      <c r="I16" s="9" t="inlineStr">
        <is>
          <t>平日 (Ngày thường)</t>
        </is>
      </c>
      <c r="J16" s="9" t="inlineStr">
        <is>
          <t>科目B (福嶋)</t>
        </is>
      </c>
      <c r="K16" s="8" t="inlineStr">
        <is>
          <t>福嶋 アルゴリズム 第2章: Ngôn ngữ giả &amp; Trace</t>
        </is>
      </c>
      <c r="L16" s="9" t="inlineStr"/>
      <c r="M16" s="9" t="inlineStr">
        <is>
          <t>未</t>
        </is>
      </c>
      <c r="N16" s="9" t="inlineStr">
        <is>
          <t>未着手</t>
        </is>
      </c>
      <c r="O16" s="8" t="inlineStr"/>
    </row>
    <row r="17">
      <c r="B17" s="9" t="inlineStr">
        <is>
          <t>Day 010</t>
        </is>
      </c>
      <c r="C17" s="9" t="inlineStr">
        <is>
          <t>2026/09/30</t>
        </is>
      </c>
      <c r="D17" s="9" t="inlineStr">
        <is>
          <t>水 (T4)</t>
        </is>
      </c>
      <c r="E17" s="9" t="n">
        <v>1</v>
      </c>
      <c r="F17" s="9" t="n">
        <v>0</v>
      </c>
      <c r="G17" s="9">
        <f>F17-E17</f>
        <v/>
      </c>
      <c r="H17" s="9">
        <f>IF(G17&lt;0, -G17, 0)</f>
        <v/>
      </c>
      <c r="I17" s="9" t="inlineStr">
        <is>
          <t>平日 (Ngày thường)</t>
        </is>
      </c>
      <c r="J17" s="9" t="inlineStr">
        <is>
          <t>科目A (かやのき)</t>
        </is>
      </c>
      <c r="K17" s="8" t="inlineStr">
        <is>
          <t>かやのき 第2章: Lý thuyết trọng tâm</t>
        </is>
      </c>
      <c r="L17" s="9" t="inlineStr"/>
      <c r="M17" s="9" t="inlineStr">
        <is>
          <t>未</t>
        </is>
      </c>
      <c r="N17" s="9" t="inlineStr">
        <is>
          <t>未着手</t>
        </is>
      </c>
      <c r="O17" s="8" t="inlineStr"/>
    </row>
    <row r="18">
      <c r="B18" s="9" t="inlineStr">
        <is>
          <t>Day 011</t>
        </is>
      </c>
      <c r="C18" s="9" t="inlineStr">
        <is>
          <t>2026/10/01</t>
        </is>
      </c>
      <c r="D18" s="9" t="inlineStr">
        <is>
          <t>木 (T5)</t>
        </is>
      </c>
      <c r="E18" s="9" t="n">
        <v>1</v>
      </c>
      <c r="F18" s="9" t="n">
        <v>0</v>
      </c>
      <c r="G18" s="9">
        <f>F18-E18</f>
        <v/>
      </c>
      <c r="H18" s="9">
        <f>IF(G18&lt;0, -G18, 0)</f>
        <v/>
      </c>
      <c r="I18" s="9" t="inlineStr">
        <is>
          <t>平日 (Ngày thường)</t>
        </is>
      </c>
      <c r="J18" s="9" t="inlineStr">
        <is>
          <t>科目B (福嶋)</t>
        </is>
      </c>
      <c r="K18" s="8" t="inlineStr">
        <is>
          <t>福嶋 アルゴリズム 第2章: Ngôn ngữ giả &amp; Trace</t>
        </is>
      </c>
      <c r="L18" s="9" t="inlineStr"/>
      <c r="M18" s="9" t="inlineStr">
        <is>
          <t>未</t>
        </is>
      </c>
      <c r="N18" s="9" t="inlineStr">
        <is>
          <t>未着手</t>
        </is>
      </c>
      <c r="O18" s="8" t="inlineStr"/>
    </row>
    <row r="19">
      <c r="B19" s="9" t="inlineStr">
        <is>
          <t>Day 012</t>
        </is>
      </c>
      <c r="C19" s="9" t="inlineStr">
        <is>
          <t>2026/10/02</t>
        </is>
      </c>
      <c r="D19" s="9" t="inlineStr">
        <is>
          <t>金 (T6)</t>
        </is>
      </c>
      <c r="E19" s="9" t="n">
        <v>1</v>
      </c>
      <c r="F19" s="9" t="n">
        <v>0</v>
      </c>
      <c r="G19" s="9">
        <f>F19-E19</f>
        <v/>
      </c>
      <c r="H19" s="9">
        <f>IF(G19&lt;0, -G19, 0)</f>
        <v/>
      </c>
      <c r="I19" s="9" t="inlineStr">
        <is>
          <t>平日 (Ngày thường)</t>
        </is>
      </c>
      <c r="J19" s="9" t="inlineStr">
        <is>
          <t>科目A (かやのき)</t>
        </is>
      </c>
      <c r="K19" s="8" t="inlineStr">
        <is>
          <t>かやのき 第2章: Lý thuyết trọng tâm</t>
        </is>
      </c>
      <c r="L19" s="9" t="inlineStr"/>
      <c r="M19" s="9" t="inlineStr">
        <is>
          <t>未</t>
        </is>
      </c>
      <c r="N19" s="9" t="inlineStr">
        <is>
          <t>未着手</t>
        </is>
      </c>
      <c r="O19" s="8" t="inlineStr"/>
    </row>
    <row r="20">
      <c r="B20" s="17" t="inlineStr">
        <is>
          <t>Day 013</t>
        </is>
      </c>
      <c r="C20" s="17" t="inlineStr">
        <is>
          <t>2026/10/03</t>
        </is>
      </c>
      <c r="D20" s="17" t="inlineStr">
        <is>
          <t>土 (T7)</t>
        </is>
      </c>
      <c r="E20" s="17" t="n">
        <v>2.5</v>
      </c>
      <c r="F20" s="17" t="n">
        <v>0</v>
      </c>
      <c r="G20" s="17">
        <f>F20-E20</f>
        <v/>
      </c>
      <c r="H20" s="17">
        <f>IF(G20&lt;0, -G20, 0)</f>
        <v/>
      </c>
      <c r="I20" s="17" t="inlineStr">
        <is>
          <t>週末 (Cuối tuần)</t>
        </is>
      </c>
      <c r="J20" s="17" t="inlineStr">
        <is>
          <t>科目B (福嶋)</t>
        </is>
      </c>
      <c r="K20" s="18" t="inlineStr">
        <is>
          <t>福嶋 アルゴリズム 第2章: Ngôn ngữ giả &amp; Trace</t>
        </is>
      </c>
      <c r="L20" s="17" t="inlineStr"/>
      <c r="M20" s="17" t="inlineStr">
        <is>
          <t>未</t>
        </is>
      </c>
      <c r="N20" s="17" t="inlineStr">
        <is>
          <t>未着手</t>
        </is>
      </c>
      <c r="O20" s="18" t="inlineStr"/>
    </row>
    <row r="21">
      <c r="B21" s="17" t="inlineStr">
        <is>
          <t>Day 014</t>
        </is>
      </c>
      <c r="C21" s="17" t="inlineStr">
        <is>
          <t>2026/10/04</t>
        </is>
      </c>
      <c r="D21" s="17" t="inlineStr">
        <is>
          <t>日 (CN)</t>
        </is>
      </c>
      <c r="E21" s="17" t="n">
        <v>2.5</v>
      </c>
      <c r="F21" s="17" t="n">
        <v>0</v>
      </c>
      <c r="G21" s="17">
        <f>F21-E21</f>
        <v/>
      </c>
      <c r="H21" s="17">
        <f>IF(G21&lt;0, -G21, 0)</f>
        <v/>
      </c>
      <c r="I21" s="17" t="inlineStr">
        <is>
          <t>週末 (Cuối tuần)</t>
        </is>
      </c>
      <c r="J21" s="17" t="inlineStr">
        <is>
          <t>過去問・復習</t>
        </is>
      </c>
      <c r="K21" s="18" t="inlineStr">
        <is>
          <t>Tổng ôn tập tuần &amp; Luyện đề quá khứ R08</t>
        </is>
      </c>
      <c r="L21" s="17" t="inlineStr"/>
      <c r="M21" s="17" t="inlineStr">
        <is>
          <t>未</t>
        </is>
      </c>
      <c r="N21" s="17" t="inlineStr">
        <is>
          <t>未着手</t>
        </is>
      </c>
      <c r="O21" s="18" t="inlineStr"/>
    </row>
    <row r="22">
      <c r="B22" s="9" t="inlineStr">
        <is>
          <t>Day 015</t>
        </is>
      </c>
      <c r="C22" s="9" t="inlineStr">
        <is>
          <t>2026/10/05</t>
        </is>
      </c>
      <c r="D22" s="9" t="inlineStr">
        <is>
          <t>月 (T2)</t>
        </is>
      </c>
      <c r="E22" s="9" t="n">
        <v>1</v>
      </c>
      <c r="F22" s="9" t="n">
        <v>0</v>
      </c>
      <c r="G22" s="9">
        <f>F22-E22</f>
        <v/>
      </c>
      <c r="H22" s="9">
        <f>IF(G22&lt;0, -G22, 0)</f>
        <v/>
      </c>
      <c r="I22" s="9" t="inlineStr">
        <is>
          <t>平日 (Ngày thường)</t>
        </is>
      </c>
      <c r="J22" s="9" t="inlineStr">
        <is>
          <t>科目A (かやのき)</t>
        </is>
      </c>
      <c r="K22" s="8" t="inlineStr">
        <is>
          <t>かやのき 第3章: Lý thuyết trọng tâm</t>
        </is>
      </c>
      <c r="L22" s="9" t="inlineStr"/>
      <c r="M22" s="9" t="inlineStr">
        <is>
          <t>未</t>
        </is>
      </c>
      <c r="N22" s="9" t="inlineStr">
        <is>
          <t>未着手</t>
        </is>
      </c>
      <c r="O22" s="8" t="inlineStr"/>
    </row>
    <row r="23">
      <c r="B23" s="9" t="inlineStr">
        <is>
          <t>Day 016</t>
        </is>
      </c>
      <c r="C23" s="9" t="inlineStr">
        <is>
          <t>2026/10/06</t>
        </is>
      </c>
      <c r="D23" s="9" t="inlineStr">
        <is>
          <t>火 (T3)</t>
        </is>
      </c>
      <c r="E23" s="9" t="n">
        <v>1</v>
      </c>
      <c r="F23" s="9" t="n">
        <v>0</v>
      </c>
      <c r="G23" s="9">
        <f>F23-E23</f>
        <v/>
      </c>
      <c r="H23" s="9">
        <f>IF(G23&lt;0, -G23, 0)</f>
        <v/>
      </c>
      <c r="I23" s="9" t="inlineStr">
        <is>
          <t>平日 (Ngày thường)</t>
        </is>
      </c>
      <c r="J23" s="9" t="inlineStr">
        <is>
          <t>科目B (福嶋)</t>
        </is>
      </c>
      <c r="K23" s="8" t="inlineStr">
        <is>
          <t>福嶋 アルゴリズム 第3章: Ngôn ngữ giả &amp; Trace</t>
        </is>
      </c>
      <c r="L23" s="9" t="inlineStr"/>
      <c r="M23" s="9" t="inlineStr">
        <is>
          <t>未</t>
        </is>
      </c>
      <c r="N23" s="9" t="inlineStr">
        <is>
          <t>未着手</t>
        </is>
      </c>
      <c r="O23" s="8" t="inlineStr"/>
    </row>
    <row r="24">
      <c r="B24" s="9" t="inlineStr">
        <is>
          <t>Day 017</t>
        </is>
      </c>
      <c r="C24" s="9" t="inlineStr">
        <is>
          <t>2026/10/07</t>
        </is>
      </c>
      <c r="D24" s="9" t="inlineStr">
        <is>
          <t>水 (T4)</t>
        </is>
      </c>
      <c r="E24" s="9" t="n">
        <v>1</v>
      </c>
      <c r="F24" s="9" t="n">
        <v>0</v>
      </c>
      <c r="G24" s="9">
        <f>F24-E24</f>
        <v/>
      </c>
      <c r="H24" s="9">
        <f>IF(G24&lt;0, -G24, 0)</f>
        <v/>
      </c>
      <c r="I24" s="9" t="inlineStr">
        <is>
          <t>平日 (Ngày thường)</t>
        </is>
      </c>
      <c r="J24" s="9" t="inlineStr">
        <is>
          <t>科目A (かやのき)</t>
        </is>
      </c>
      <c r="K24" s="8" t="inlineStr">
        <is>
          <t>かやのき 第3章: Lý thuyết trọng tâm</t>
        </is>
      </c>
      <c r="L24" s="9" t="inlineStr"/>
      <c r="M24" s="9" t="inlineStr">
        <is>
          <t>未</t>
        </is>
      </c>
      <c r="N24" s="9" t="inlineStr">
        <is>
          <t>未着手</t>
        </is>
      </c>
      <c r="O24" s="8" t="inlineStr"/>
    </row>
    <row r="25">
      <c r="B25" s="9" t="inlineStr">
        <is>
          <t>Day 018</t>
        </is>
      </c>
      <c r="C25" s="9" t="inlineStr">
        <is>
          <t>2026/10/08</t>
        </is>
      </c>
      <c r="D25" s="9" t="inlineStr">
        <is>
          <t>木 (T5)</t>
        </is>
      </c>
      <c r="E25" s="9" t="n">
        <v>1</v>
      </c>
      <c r="F25" s="9" t="n">
        <v>0</v>
      </c>
      <c r="G25" s="9">
        <f>F25-E25</f>
        <v/>
      </c>
      <c r="H25" s="9">
        <f>IF(G25&lt;0, -G25, 0)</f>
        <v/>
      </c>
      <c r="I25" s="9" t="inlineStr">
        <is>
          <t>平日 (Ngày thường)</t>
        </is>
      </c>
      <c r="J25" s="9" t="inlineStr">
        <is>
          <t>科目B (福嶋)</t>
        </is>
      </c>
      <c r="K25" s="8" t="inlineStr">
        <is>
          <t>福嶋 アルゴリズム 第3章: Ngôn ngữ giả &amp; Trace</t>
        </is>
      </c>
      <c r="L25" s="9" t="inlineStr"/>
      <c r="M25" s="9" t="inlineStr">
        <is>
          <t>未</t>
        </is>
      </c>
      <c r="N25" s="9" t="inlineStr">
        <is>
          <t>未着手</t>
        </is>
      </c>
      <c r="O25" s="8" t="inlineStr"/>
    </row>
    <row r="26">
      <c r="B26" s="9" t="inlineStr">
        <is>
          <t>Day 019</t>
        </is>
      </c>
      <c r="C26" s="9" t="inlineStr">
        <is>
          <t>2026/10/09</t>
        </is>
      </c>
      <c r="D26" s="9" t="inlineStr">
        <is>
          <t>金 (T6)</t>
        </is>
      </c>
      <c r="E26" s="9" t="n">
        <v>1</v>
      </c>
      <c r="F26" s="9" t="n">
        <v>0</v>
      </c>
      <c r="G26" s="9">
        <f>F26-E26</f>
        <v/>
      </c>
      <c r="H26" s="9">
        <f>IF(G26&lt;0, -G26, 0)</f>
        <v/>
      </c>
      <c r="I26" s="9" t="inlineStr">
        <is>
          <t>平日 (Ngày thường)</t>
        </is>
      </c>
      <c r="J26" s="9" t="inlineStr">
        <is>
          <t>科目A (かやのき)</t>
        </is>
      </c>
      <c r="K26" s="8" t="inlineStr">
        <is>
          <t>かやのき 第3章: Lý thuyết trọng tâm</t>
        </is>
      </c>
      <c r="L26" s="9" t="inlineStr"/>
      <c r="M26" s="9" t="inlineStr">
        <is>
          <t>未</t>
        </is>
      </c>
      <c r="N26" s="9" t="inlineStr">
        <is>
          <t>未着手</t>
        </is>
      </c>
      <c r="O26" s="8" t="inlineStr"/>
    </row>
    <row r="27">
      <c r="B27" s="17" t="inlineStr">
        <is>
          <t>Day 020</t>
        </is>
      </c>
      <c r="C27" s="17" t="inlineStr">
        <is>
          <t>2026/10/10</t>
        </is>
      </c>
      <c r="D27" s="17" t="inlineStr">
        <is>
          <t>土 (T7)</t>
        </is>
      </c>
      <c r="E27" s="17" t="n">
        <v>2.5</v>
      </c>
      <c r="F27" s="17" t="n">
        <v>0</v>
      </c>
      <c r="G27" s="17">
        <f>F27-E27</f>
        <v/>
      </c>
      <c r="H27" s="17">
        <f>IF(G27&lt;0, -G27, 0)</f>
        <v/>
      </c>
      <c r="I27" s="17" t="inlineStr">
        <is>
          <t>週末 (Cuối tuần)</t>
        </is>
      </c>
      <c r="J27" s="17" t="inlineStr">
        <is>
          <t>科目B (福嶋)</t>
        </is>
      </c>
      <c r="K27" s="18" t="inlineStr">
        <is>
          <t>福嶋 アルゴリズム 第3章: Ngôn ngữ giả &amp; Trace</t>
        </is>
      </c>
      <c r="L27" s="17" t="inlineStr"/>
      <c r="M27" s="17" t="inlineStr">
        <is>
          <t>未</t>
        </is>
      </c>
      <c r="N27" s="17" t="inlineStr">
        <is>
          <t>未着手</t>
        </is>
      </c>
      <c r="O27" s="18" t="inlineStr"/>
    </row>
    <row r="28">
      <c r="B28" s="17" t="inlineStr">
        <is>
          <t>Day 021</t>
        </is>
      </c>
      <c r="C28" s="17" t="inlineStr">
        <is>
          <t>2026/10/11</t>
        </is>
      </c>
      <c r="D28" s="17" t="inlineStr">
        <is>
          <t>日 (CN)</t>
        </is>
      </c>
      <c r="E28" s="17" t="n">
        <v>2.5</v>
      </c>
      <c r="F28" s="17" t="n">
        <v>0</v>
      </c>
      <c r="G28" s="17">
        <f>F28-E28</f>
        <v/>
      </c>
      <c r="H28" s="17">
        <f>IF(G28&lt;0, -G28, 0)</f>
        <v/>
      </c>
      <c r="I28" s="17" t="inlineStr">
        <is>
          <t>週末 (Cuối tuần)</t>
        </is>
      </c>
      <c r="J28" s="17" t="inlineStr">
        <is>
          <t>過去問・復習</t>
        </is>
      </c>
      <c r="K28" s="18" t="inlineStr">
        <is>
          <t>Tổng ôn tập tuần &amp; Luyện đề quá khứ R08</t>
        </is>
      </c>
      <c r="L28" s="17" t="inlineStr"/>
      <c r="M28" s="17" t="inlineStr">
        <is>
          <t>未</t>
        </is>
      </c>
      <c r="N28" s="17" t="inlineStr">
        <is>
          <t>未着手</t>
        </is>
      </c>
      <c r="O28" s="18" t="inlineStr"/>
    </row>
    <row r="29">
      <c r="B29" s="17" t="inlineStr">
        <is>
          <t>Day 022</t>
        </is>
      </c>
      <c r="C29" s="17" t="inlineStr">
        <is>
          <t>2026/10/12</t>
        </is>
      </c>
      <c r="D29" s="17" t="inlineStr">
        <is>
          <t>月 (T2)</t>
        </is>
      </c>
      <c r="E29" s="17" t="n">
        <v>2.5</v>
      </c>
      <c r="F29" s="17" t="n">
        <v>0</v>
      </c>
      <c r="G29" s="17">
        <f>F29-E29</f>
        <v/>
      </c>
      <c r="H29" s="17">
        <f>IF(G29&lt;0, -G29, 0)</f>
        <v/>
      </c>
      <c r="I29" s="17" t="inlineStr">
        <is>
          <t>🎌 祝日 (スポーツの日)</t>
        </is>
      </c>
      <c r="J29" s="17" t="inlineStr">
        <is>
          <t>科目A (かやのき)</t>
        </is>
      </c>
      <c r="K29" s="18" t="inlineStr">
        <is>
          <t>かやのき 第4章: Lý thuyết trọng tâm</t>
        </is>
      </c>
      <c r="L29" s="17" t="inlineStr"/>
      <c r="M29" s="17" t="inlineStr">
        <is>
          <t>未</t>
        </is>
      </c>
      <c r="N29" s="17" t="inlineStr">
        <is>
          <t>未着手</t>
        </is>
      </c>
      <c r="O29" s="18" t="inlineStr"/>
    </row>
    <row r="30">
      <c r="B30" s="9" t="inlineStr">
        <is>
          <t>Day 023</t>
        </is>
      </c>
      <c r="C30" s="9" t="inlineStr">
        <is>
          <t>2026/10/13</t>
        </is>
      </c>
      <c r="D30" s="9" t="inlineStr">
        <is>
          <t>火 (T3)</t>
        </is>
      </c>
      <c r="E30" s="9" t="n">
        <v>1</v>
      </c>
      <c r="F30" s="9" t="n">
        <v>0</v>
      </c>
      <c r="G30" s="9">
        <f>F30-E30</f>
        <v/>
      </c>
      <c r="H30" s="9">
        <f>IF(G30&lt;0, -G30, 0)</f>
        <v/>
      </c>
      <c r="I30" s="9" t="inlineStr">
        <is>
          <t>平日 (Ngày thường)</t>
        </is>
      </c>
      <c r="J30" s="9" t="inlineStr">
        <is>
          <t>科目B (福嶋)</t>
        </is>
      </c>
      <c r="K30" s="8" t="inlineStr">
        <is>
          <t>福嶋 アルゴリズム 第4章: Ngôn ngữ giả &amp; Trace</t>
        </is>
      </c>
      <c r="L30" s="9" t="inlineStr"/>
      <c r="M30" s="9" t="inlineStr">
        <is>
          <t>未</t>
        </is>
      </c>
      <c r="N30" s="9" t="inlineStr">
        <is>
          <t>未着手</t>
        </is>
      </c>
      <c r="O30" s="8" t="inlineStr"/>
    </row>
    <row r="31">
      <c r="B31" s="9" t="inlineStr">
        <is>
          <t>Day 024</t>
        </is>
      </c>
      <c r="C31" s="9" t="inlineStr">
        <is>
          <t>2026/10/14</t>
        </is>
      </c>
      <c r="D31" s="9" t="inlineStr">
        <is>
          <t>水 (T4)</t>
        </is>
      </c>
      <c r="E31" s="9" t="n">
        <v>1</v>
      </c>
      <c r="F31" s="9" t="n">
        <v>0</v>
      </c>
      <c r="G31" s="9">
        <f>F31-E31</f>
        <v/>
      </c>
      <c r="H31" s="9">
        <f>IF(G31&lt;0, -G31, 0)</f>
        <v/>
      </c>
      <c r="I31" s="9" t="inlineStr">
        <is>
          <t>平日 (Ngày thường)</t>
        </is>
      </c>
      <c r="J31" s="9" t="inlineStr">
        <is>
          <t>科目A (かやのき)</t>
        </is>
      </c>
      <c r="K31" s="8" t="inlineStr">
        <is>
          <t>かやのき 第4章: Lý thuyết trọng tâm</t>
        </is>
      </c>
      <c r="L31" s="9" t="inlineStr"/>
      <c r="M31" s="9" t="inlineStr">
        <is>
          <t>未</t>
        </is>
      </c>
      <c r="N31" s="9" t="inlineStr">
        <is>
          <t>未着手</t>
        </is>
      </c>
      <c r="O31" s="8" t="inlineStr"/>
    </row>
    <row r="32">
      <c r="B32" s="9" t="inlineStr">
        <is>
          <t>Day 025</t>
        </is>
      </c>
      <c r="C32" s="9" t="inlineStr">
        <is>
          <t>2026/10/15</t>
        </is>
      </c>
      <c r="D32" s="9" t="inlineStr">
        <is>
          <t>木 (T5)</t>
        </is>
      </c>
      <c r="E32" s="9" t="n">
        <v>1</v>
      </c>
      <c r="F32" s="9" t="n">
        <v>0</v>
      </c>
      <c r="G32" s="9">
        <f>F32-E32</f>
        <v/>
      </c>
      <c r="H32" s="9">
        <f>IF(G32&lt;0, -G32, 0)</f>
        <v/>
      </c>
      <c r="I32" s="9" t="inlineStr">
        <is>
          <t>平日 (Ngày thường)</t>
        </is>
      </c>
      <c r="J32" s="9" t="inlineStr">
        <is>
          <t>科目B (福嶋)</t>
        </is>
      </c>
      <c r="K32" s="8" t="inlineStr">
        <is>
          <t>福嶋 アルゴリズム 第4章: Ngôn ngữ giả &amp; Trace</t>
        </is>
      </c>
      <c r="L32" s="9" t="inlineStr"/>
      <c r="M32" s="9" t="inlineStr">
        <is>
          <t>未</t>
        </is>
      </c>
      <c r="N32" s="9" t="inlineStr">
        <is>
          <t>未着手</t>
        </is>
      </c>
      <c r="O32" s="8" t="inlineStr"/>
    </row>
    <row r="33">
      <c r="B33" s="9" t="inlineStr">
        <is>
          <t>Day 026</t>
        </is>
      </c>
      <c r="C33" s="9" t="inlineStr">
        <is>
          <t>2026/10/16</t>
        </is>
      </c>
      <c r="D33" s="9" t="inlineStr">
        <is>
          <t>金 (T6)</t>
        </is>
      </c>
      <c r="E33" s="9" t="n">
        <v>1</v>
      </c>
      <c r="F33" s="9" t="n">
        <v>0</v>
      </c>
      <c r="G33" s="9">
        <f>F33-E33</f>
        <v/>
      </c>
      <c r="H33" s="9">
        <f>IF(G33&lt;0, -G33, 0)</f>
        <v/>
      </c>
      <c r="I33" s="9" t="inlineStr">
        <is>
          <t>平日 (Ngày thường)</t>
        </is>
      </c>
      <c r="J33" s="9" t="inlineStr">
        <is>
          <t>科目A (かやのき)</t>
        </is>
      </c>
      <c r="K33" s="8" t="inlineStr">
        <is>
          <t>かやのき 第4章: Lý thuyết trọng tâm</t>
        </is>
      </c>
      <c r="L33" s="9" t="inlineStr"/>
      <c r="M33" s="9" t="inlineStr">
        <is>
          <t>未</t>
        </is>
      </c>
      <c r="N33" s="9" t="inlineStr">
        <is>
          <t>未着手</t>
        </is>
      </c>
      <c r="O33" s="8" t="inlineStr"/>
    </row>
    <row r="34">
      <c r="B34" s="17" t="inlineStr">
        <is>
          <t>Day 027</t>
        </is>
      </c>
      <c r="C34" s="17" t="inlineStr">
        <is>
          <t>2026/10/17</t>
        </is>
      </c>
      <c r="D34" s="17" t="inlineStr">
        <is>
          <t>土 (T7)</t>
        </is>
      </c>
      <c r="E34" s="17" t="n">
        <v>2.5</v>
      </c>
      <c r="F34" s="17" t="n">
        <v>0</v>
      </c>
      <c r="G34" s="17">
        <f>F34-E34</f>
        <v/>
      </c>
      <c r="H34" s="17">
        <f>IF(G34&lt;0, -G34, 0)</f>
        <v/>
      </c>
      <c r="I34" s="17" t="inlineStr">
        <is>
          <t>週末 (Cuối tuần)</t>
        </is>
      </c>
      <c r="J34" s="17" t="inlineStr">
        <is>
          <t>科目B (福嶋)</t>
        </is>
      </c>
      <c r="K34" s="18" t="inlineStr">
        <is>
          <t>福嶋 アルゴリズム 第4章: Ngôn ngữ giả &amp; Trace</t>
        </is>
      </c>
      <c r="L34" s="17" t="inlineStr"/>
      <c r="M34" s="17" t="inlineStr">
        <is>
          <t>未</t>
        </is>
      </c>
      <c r="N34" s="17" t="inlineStr">
        <is>
          <t>未着手</t>
        </is>
      </c>
      <c r="O34" s="18" t="inlineStr"/>
    </row>
    <row r="35">
      <c r="B35" s="17" t="inlineStr">
        <is>
          <t>Day 028</t>
        </is>
      </c>
      <c r="C35" s="17" t="inlineStr">
        <is>
          <t>2026/10/18</t>
        </is>
      </c>
      <c r="D35" s="17" t="inlineStr">
        <is>
          <t>日 (CN)</t>
        </is>
      </c>
      <c r="E35" s="17" t="n">
        <v>2.5</v>
      </c>
      <c r="F35" s="17" t="n">
        <v>0</v>
      </c>
      <c r="G35" s="17">
        <f>F35-E35</f>
        <v/>
      </c>
      <c r="H35" s="17">
        <f>IF(G35&lt;0, -G35, 0)</f>
        <v/>
      </c>
      <c r="I35" s="17" t="inlineStr">
        <is>
          <t>週末 (Cuối tuần)</t>
        </is>
      </c>
      <c r="J35" s="17" t="inlineStr">
        <is>
          <t>過去問・復習</t>
        </is>
      </c>
      <c r="K35" s="18" t="inlineStr">
        <is>
          <t>Tổng ôn tập tuần &amp; Luyện đề quá khứ R08</t>
        </is>
      </c>
      <c r="L35" s="17" t="inlineStr"/>
      <c r="M35" s="17" t="inlineStr">
        <is>
          <t>未</t>
        </is>
      </c>
      <c r="N35" s="17" t="inlineStr">
        <is>
          <t>未着手</t>
        </is>
      </c>
      <c r="O35" s="18" t="inlineStr"/>
    </row>
    <row r="36">
      <c r="B36" s="9" t="inlineStr">
        <is>
          <t>Day 029</t>
        </is>
      </c>
      <c r="C36" s="9" t="inlineStr">
        <is>
          <t>2026/10/19</t>
        </is>
      </c>
      <c r="D36" s="9" t="inlineStr">
        <is>
          <t>月 (T2)</t>
        </is>
      </c>
      <c r="E36" s="9" t="n">
        <v>1</v>
      </c>
      <c r="F36" s="9" t="n">
        <v>0</v>
      </c>
      <c r="G36" s="9">
        <f>F36-E36</f>
        <v/>
      </c>
      <c r="H36" s="9">
        <f>IF(G36&lt;0, -G36, 0)</f>
        <v/>
      </c>
      <c r="I36" s="9" t="inlineStr">
        <is>
          <t>平日 (Ngày thường)</t>
        </is>
      </c>
      <c r="J36" s="9" t="inlineStr">
        <is>
          <t>科目A (かやのき)</t>
        </is>
      </c>
      <c r="K36" s="8" t="inlineStr">
        <is>
          <t>かやのき 第5章: Lý thuyết trọng tâm</t>
        </is>
      </c>
      <c r="L36" s="9" t="inlineStr"/>
      <c r="M36" s="9" t="inlineStr">
        <is>
          <t>未</t>
        </is>
      </c>
      <c r="N36" s="9" t="inlineStr">
        <is>
          <t>未着手</t>
        </is>
      </c>
      <c r="O36" s="8" t="inlineStr"/>
    </row>
    <row r="37">
      <c r="B37" s="9" t="inlineStr">
        <is>
          <t>Day 030</t>
        </is>
      </c>
      <c r="C37" s="9" t="inlineStr">
        <is>
          <t>2026/10/20</t>
        </is>
      </c>
      <c r="D37" s="9" t="inlineStr">
        <is>
          <t>火 (T3)</t>
        </is>
      </c>
      <c r="E37" s="9" t="n">
        <v>1</v>
      </c>
      <c r="F37" s="9" t="n">
        <v>0</v>
      </c>
      <c r="G37" s="9">
        <f>F37-E37</f>
        <v/>
      </c>
      <c r="H37" s="9">
        <f>IF(G37&lt;0, -G37, 0)</f>
        <v/>
      </c>
      <c r="I37" s="9" t="inlineStr">
        <is>
          <t>平日 (Ngày thường)</t>
        </is>
      </c>
      <c r="J37" s="9" t="inlineStr">
        <is>
          <t>科目B (福嶋)</t>
        </is>
      </c>
      <c r="K37" s="8" t="inlineStr">
        <is>
          <t>福嶋 アルゴリズム 第5章: Ngôn ngữ giả &amp; Trace</t>
        </is>
      </c>
      <c r="L37" s="9" t="inlineStr"/>
      <c r="M37" s="9" t="inlineStr">
        <is>
          <t>未</t>
        </is>
      </c>
      <c r="N37" s="9" t="inlineStr">
        <is>
          <t>未着手</t>
        </is>
      </c>
      <c r="O37" s="8" t="inlineStr"/>
    </row>
    <row r="38">
      <c r="B38" s="9" t="inlineStr">
        <is>
          <t>Day 031</t>
        </is>
      </c>
      <c r="C38" s="9" t="inlineStr">
        <is>
          <t>2026/10/21</t>
        </is>
      </c>
      <c r="D38" s="9" t="inlineStr">
        <is>
          <t>水 (T4)</t>
        </is>
      </c>
      <c r="E38" s="9" t="n">
        <v>1</v>
      </c>
      <c r="F38" s="9" t="n">
        <v>0</v>
      </c>
      <c r="G38" s="9">
        <f>F38-E38</f>
        <v/>
      </c>
      <c r="H38" s="9">
        <f>IF(G38&lt;0, -G38, 0)</f>
        <v/>
      </c>
      <c r="I38" s="9" t="inlineStr">
        <is>
          <t>平日 (Ngày thường)</t>
        </is>
      </c>
      <c r="J38" s="9" t="inlineStr">
        <is>
          <t>科目A (かやのき)</t>
        </is>
      </c>
      <c r="K38" s="8" t="inlineStr">
        <is>
          <t>かやのき 第5章: Lý thuyết trọng tâm</t>
        </is>
      </c>
      <c r="L38" s="9" t="inlineStr"/>
      <c r="M38" s="9" t="inlineStr">
        <is>
          <t>未</t>
        </is>
      </c>
      <c r="N38" s="9" t="inlineStr">
        <is>
          <t>未着手</t>
        </is>
      </c>
      <c r="O38" s="8" t="inlineStr"/>
    </row>
    <row r="39">
      <c r="B39" s="9" t="inlineStr">
        <is>
          <t>Day 032</t>
        </is>
      </c>
      <c r="C39" s="9" t="inlineStr">
        <is>
          <t>2026/10/22</t>
        </is>
      </c>
      <c r="D39" s="9" t="inlineStr">
        <is>
          <t>木 (T5)</t>
        </is>
      </c>
      <c r="E39" s="9" t="n">
        <v>1</v>
      </c>
      <c r="F39" s="9" t="n">
        <v>0</v>
      </c>
      <c r="G39" s="9">
        <f>F39-E39</f>
        <v/>
      </c>
      <c r="H39" s="9">
        <f>IF(G39&lt;0, -G39, 0)</f>
        <v/>
      </c>
      <c r="I39" s="9" t="inlineStr">
        <is>
          <t>平日 (Ngày thường)</t>
        </is>
      </c>
      <c r="J39" s="9" t="inlineStr">
        <is>
          <t>科目B (福嶋)</t>
        </is>
      </c>
      <c r="K39" s="8" t="inlineStr">
        <is>
          <t>福嶋 アルゴリズム 第5章: Ngôn ngữ giả &amp; Trace</t>
        </is>
      </c>
      <c r="L39" s="9" t="inlineStr"/>
      <c r="M39" s="9" t="inlineStr">
        <is>
          <t>未</t>
        </is>
      </c>
      <c r="N39" s="9" t="inlineStr">
        <is>
          <t>未着手</t>
        </is>
      </c>
      <c r="O39" s="8" t="inlineStr"/>
    </row>
    <row r="40">
      <c r="B40" s="9" t="inlineStr">
        <is>
          <t>Day 033</t>
        </is>
      </c>
      <c r="C40" s="9" t="inlineStr">
        <is>
          <t>2026/10/23</t>
        </is>
      </c>
      <c r="D40" s="9" t="inlineStr">
        <is>
          <t>金 (T6)</t>
        </is>
      </c>
      <c r="E40" s="9" t="n">
        <v>1</v>
      </c>
      <c r="F40" s="9" t="n">
        <v>0</v>
      </c>
      <c r="G40" s="9">
        <f>F40-E40</f>
        <v/>
      </c>
      <c r="H40" s="9">
        <f>IF(G40&lt;0, -G40, 0)</f>
        <v/>
      </c>
      <c r="I40" s="9" t="inlineStr">
        <is>
          <t>平日 (Ngày thường)</t>
        </is>
      </c>
      <c r="J40" s="9" t="inlineStr">
        <is>
          <t>科目A (かやのき)</t>
        </is>
      </c>
      <c r="K40" s="8" t="inlineStr">
        <is>
          <t>かやのき 第5章: Lý thuyết trọng tâm</t>
        </is>
      </c>
      <c r="L40" s="9" t="inlineStr"/>
      <c r="M40" s="9" t="inlineStr">
        <is>
          <t>未</t>
        </is>
      </c>
      <c r="N40" s="9" t="inlineStr">
        <is>
          <t>未着手</t>
        </is>
      </c>
      <c r="O40" s="8" t="inlineStr"/>
    </row>
    <row r="41">
      <c r="B41" s="17" t="inlineStr">
        <is>
          <t>Day 034</t>
        </is>
      </c>
      <c r="C41" s="17" t="inlineStr">
        <is>
          <t>2026/10/24</t>
        </is>
      </c>
      <c r="D41" s="17" t="inlineStr">
        <is>
          <t>土 (T7)</t>
        </is>
      </c>
      <c r="E41" s="17" t="n">
        <v>2.5</v>
      </c>
      <c r="F41" s="17" t="n">
        <v>0</v>
      </c>
      <c r="G41" s="17">
        <f>F41-E41</f>
        <v/>
      </c>
      <c r="H41" s="17">
        <f>IF(G41&lt;0, -G41, 0)</f>
        <v/>
      </c>
      <c r="I41" s="17" t="inlineStr">
        <is>
          <t>週末 (Cuối tuần)</t>
        </is>
      </c>
      <c r="J41" s="17" t="inlineStr">
        <is>
          <t>科目B (福嶋)</t>
        </is>
      </c>
      <c r="K41" s="18" t="inlineStr">
        <is>
          <t>福嶋 アルゴリズム 第5章: Ngôn ngữ giả &amp; Trace</t>
        </is>
      </c>
      <c r="L41" s="17" t="inlineStr"/>
      <c r="M41" s="17" t="inlineStr">
        <is>
          <t>未</t>
        </is>
      </c>
      <c r="N41" s="17" t="inlineStr">
        <is>
          <t>未着手</t>
        </is>
      </c>
      <c r="O41" s="18" t="inlineStr"/>
    </row>
    <row r="42">
      <c r="B42" s="17" t="inlineStr">
        <is>
          <t>Day 035</t>
        </is>
      </c>
      <c r="C42" s="17" t="inlineStr">
        <is>
          <t>2026/10/25</t>
        </is>
      </c>
      <c r="D42" s="17" t="inlineStr">
        <is>
          <t>日 (CN)</t>
        </is>
      </c>
      <c r="E42" s="17" t="n">
        <v>2.5</v>
      </c>
      <c r="F42" s="17" t="n">
        <v>0</v>
      </c>
      <c r="G42" s="17">
        <f>F42-E42</f>
        <v/>
      </c>
      <c r="H42" s="17">
        <f>IF(G42&lt;0, -G42, 0)</f>
        <v/>
      </c>
      <c r="I42" s="17" t="inlineStr">
        <is>
          <t>週末 (Cuối tuần)</t>
        </is>
      </c>
      <c r="J42" s="17" t="inlineStr">
        <is>
          <t>過去問・復習</t>
        </is>
      </c>
      <c r="K42" s="18" t="inlineStr">
        <is>
          <t>Tổng ôn tập tuần &amp; Luyện đề quá khứ R08</t>
        </is>
      </c>
      <c r="L42" s="17" t="inlineStr"/>
      <c r="M42" s="17" t="inlineStr">
        <is>
          <t>未</t>
        </is>
      </c>
      <c r="N42" s="17" t="inlineStr">
        <is>
          <t>未着手</t>
        </is>
      </c>
      <c r="O42" s="18" t="inlineStr"/>
    </row>
    <row r="43">
      <c r="B43" s="9" t="inlineStr">
        <is>
          <t>Day 036</t>
        </is>
      </c>
      <c r="C43" s="9" t="inlineStr">
        <is>
          <t>2026/10/26</t>
        </is>
      </c>
      <c r="D43" s="9" t="inlineStr">
        <is>
          <t>月 (T2)</t>
        </is>
      </c>
      <c r="E43" s="9" t="n">
        <v>1</v>
      </c>
      <c r="F43" s="9" t="n">
        <v>0</v>
      </c>
      <c r="G43" s="9">
        <f>F43-E43</f>
        <v/>
      </c>
      <c r="H43" s="9">
        <f>IF(G43&lt;0, -G43, 0)</f>
        <v/>
      </c>
      <c r="I43" s="9" t="inlineStr">
        <is>
          <t>平日 (Ngày thường)</t>
        </is>
      </c>
      <c r="J43" s="9" t="inlineStr">
        <is>
          <t>科目A (かやのき)</t>
        </is>
      </c>
      <c r="K43" s="8" t="inlineStr">
        <is>
          <t>かやのき 第6章: Lý thuyết trọng tâm</t>
        </is>
      </c>
      <c r="L43" s="9" t="inlineStr"/>
      <c r="M43" s="9" t="inlineStr">
        <is>
          <t>未</t>
        </is>
      </c>
      <c r="N43" s="9" t="inlineStr">
        <is>
          <t>未着手</t>
        </is>
      </c>
      <c r="O43" s="8" t="inlineStr"/>
    </row>
    <row r="44">
      <c r="B44" s="9" t="inlineStr">
        <is>
          <t>Day 037</t>
        </is>
      </c>
      <c r="C44" s="9" t="inlineStr">
        <is>
          <t>2026/10/27</t>
        </is>
      </c>
      <c r="D44" s="9" t="inlineStr">
        <is>
          <t>火 (T3)</t>
        </is>
      </c>
      <c r="E44" s="9" t="n">
        <v>1</v>
      </c>
      <c r="F44" s="9" t="n">
        <v>0</v>
      </c>
      <c r="G44" s="9">
        <f>F44-E44</f>
        <v/>
      </c>
      <c r="H44" s="9">
        <f>IF(G44&lt;0, -G44, 0)</f>
        <v/>
      </c>
      <c r="I44" s="9" t="inlineStr">
        <is>
          <t>平日 (Ngày thường)</t>
        </is>
      </c>
      <c r="J44" s="9" t="inlineStr">
        <is>
          <t>科目B (福嶋)</t>
        </is>
      </c>
      <c r="K44" s="8" t="inlineStr">
        <is>
          <t>福嶋 アルゴリズム 第6章: Ngôn ngữ giả &amp; Trace</t>
        </is>
      </c>
      <c r="L44" s="9" t="inlineStr"/>
      <c r="M44" s="9" t="inlineStr">
        <is>
          <t>未</t>
        </is>
      </c>
      <c r="N44" s="9" t="inlineStr">
        <is>
          <t>未着手</t>
        </is>
      </c>
      <c r="O44" s="8" t="inlineStr"/>
    </row>
    <row r="45">
      <c r="B45" s="9" t="inlineStr">
        <is>
          <t>Day 038</t>
        </is>
      </c>
      <c r="C45" s="9" t="inlineStr">
        <is>
          <t>2026/10/28</t>
        </is>
      </c>
      <c r="D45" s="9" t="inlineStr">
        <is>
          <t>水 (T4)</t>
        </is>
      </c>
      <c r="E45" s="9" t="n">
        <v>1</v>
      </c>
      <c r="F45" s="9" t="n">
        <v>0</v>
      </c>
      <c r="G45" s="9">
        <f>F45-E45</f>
        <v/>
      </c>
      <c r="H45" s="9">
        <f>IF(G45&lt;0, -G45, 0)</f>
        <v/>
      </c>
      <c r="I45" s="9" t="inlineStr">
        <is>
          <t>平日 (Ngày thường)</t>
        </is>
      </c>
      <c r="J45" s="9" t="inlineStr">
        <is>
          <t>科目A (かやのき)</t>
        </is>
      </c>
      <c r="K45" s="8" t="inlineStr">
        <is>
          <t>かやのき 第6章: Lý thuyết trọng tâm</t>
        </is>
      </c>
      <c r="L45" s="9" t="inlineStr"/>
      <c r="M45" s="9" t="inlineStr">
        <is>
          <t>未</t>
        </is>
      </c>
      <c r="N45" s="9" t="inlineStr">
        <is>
          <t>未着手</t>
        </is>
      </c>
      <c r="O45" s="8" t="inlineStr"/>
    </row>
    <row r="46">
      <c r="B46" s="9" t="inlineStr">
        <is>
          <t>Day 039</t>
        </is>
      </c>
      <c r="C46" s="9" t="inlineStr">
        <is>
          <t>2026/10/29</t>
        </is>
      </c>
      <c r="D46" s="9" t="inlineStr">
        <is>
          <t>木 (T5)</t>
        </is>
      </c>
      <c r="E46" s="9" t="n">
        <v>1</v>
      </c>
      <c r="F46" s="9" t="n">
        <v>0</v>
      </c>
      <c r="G46" s="9">
        <f>F46-E46</f>
        <v/>
      </c>
      <c r="H46" s="9">
        <f>IF(G46&lt;0, -G46, 0)</f>
        <v/>
      </c>
      <c r="I46" s="9" t="inlineStr">
        <is>
          <t>平日 (Ngày thường)</t>
        </is>
      </c>
      <c r="J46" s="9" t="inlineStr">
        <is>
          <t>科目B (福嶋)</t>
        </is>
      </c>
      <c r="K46" s="8" t="inlineStr">
        <is>
          <t>福嶋 アルゴリズム 第6章: Ngôn ngữ giả &amp; Trace</t>
        </is>
      </c>
      <c r="L46" s="9" t="inlineStr"/>
      <c r="M46" s="9" t="inlineStr">
        <is>
          <t>未</t>
        </is>
      </c>
      <c r="N46" s="9" t="inlineStr">
        <is>
          <t>未着手</t>
        </is>
      </c>
      <c r="O46" s="8" t="inlineStr"/>
    </row>
    <row r="47">
      <c r="B47" s="9" t="inlineStr">
        <is>
          <t>Day 040</t>
        </is>
      </c>
      <c r="C47" s="9" t="inlineStr">
        <is>
          <t>2026/10/30</t>
        </is>
      </c>
      <c r="D47" s="9" t="inlineStr">
        <is>
          <t>金 (T6)</t>
        </is>
      </c>
      <c r="E47" s="9" t="n">
        <v>1</v>
      </c>
      <c r="F47" s="9" t="n">
        <v>0</v>
      </c>
      <c r="G47" s="9">
        <f>F47-E47</f>
        <v/>
      </c>
      <c r="H47" s="9">
        <f>IF(G47&lt;0, -G47, 0)</f>
        <v/>
      </c>
      <c r="I47" s="9" t="inlineStr">
        <is>
          <t>平日 (Ngày thường)</t>
        </is>
      </c>
      <c r="J47" s="9" t="inlineStr">
        <is>
          <t>科目A (かやのき)</t>
        </is>
      </c>
      <c r="K47" s="8" t="inlineStr">
        <is>
          <t>かやのき 第6章: Lý thuyết trọng tâm</t>
        </is>
      </c>
      <c r="L47" s="9" t="inlineStr"/>
      <c r="M47" s="9" t="inlineStr">
        <is>
          <t>未</t>
        </is>
      </c>
      <c r="N47" s="9" t="inlineStr">
        <is>
          <t>未着手</t>
        </is>
      </c>
      <c r="O47" s="8" t="inlineStr"/>
    </row>
    <row r="48">
      <c r="B48" s="17" t="inlineStr">
        <is>
          <t>Day 041</t>
        </is>
      </c>
      <c r="C48" s="17" t="inlineStr">
        <is>
          <t>2026/10/31</t>
        </is>
      </c>
      <c r="D48" s="17" t="inlineStr">
        <is>
          <t>土 (T7)</t>
        </is>
      </c>
      <c r="E48" s="17" t="n">
        <v>2.5</v>
      </c>
      <c r="F48" s="17" t="n">
        <v>0</v>
      </c>
      <c r="G48" s="17">
        <f>F48-E48</f>
        <v/>
      </c>
      <c r="H48" s="17">
        <f>IF(G48&lt;0, -G48, 0)</f>
        <v/>
      </c>
      <c r="I48" s="17" t="inlineStr">
        <is>
          <t>週末 (Cuối tuần)</t>
        </is>
      </c>
      <c r="J48" s="17" t="inlineStr">
        <is>
          <t>科目B (福嶋)</t>
        </is>
      </c>
      <c r="K48" s="18" t="inlineStr">
        <is>
          <t>福嶋 アルゴリズム 第6章: Ngôn ngữ giả &amp; Trace</t>
        </is>
      </c>
      <c r="L48" s="17" t="inlineStr"/>
      <c r="M48" s="17" t="inlineStr">
        <is>
          <t>未</t>
        </is>
      </c>
      <c r="N48" s="17" t="inlineStr">
        <is>
          <t>未着手</t>
        </is>
      </c>
      <c r="O48" s="18" t="inlineStr"/>
    </row>
    <row r="49">
      <c r="B49" s="17" t="inlineStr">
        <is>
          <t>Day 042</t>
        </is>
      </c>
      <c r="C49" s="17" t="inlineStr">
        <is>
          <t>2026/11/01</t>
        </is>
      </c>
      <c r="D49" s="17" t="inlineStr">
        <is>
          <t>日 (CN)</t>
        </is>
      </c>
      <c r="E49" s="17" t="n">
        <v>2.5</v>
      </c>
      <c r="F49" s="17" t="n">
        <v>0</v>
      </c>
      <c r="G49" s="17">
        <f>F49-E49</f>
        <v/>
      </c>
      <c r="H49" s="17">
        <f>IF(G49&lt;0, -G49, 0)</f>
        <v/>
      </c>
      <c r="I49" s="17" t="inlineStr">
        <is>
          <t>週末 (Cuối tuần)</t>
        </is>
      </c>
      <c r="J49" s="17" t="inlineStr">
        <is>
          <t>過去問・復習</t>
        </is>
      </c>
      <c r="K49" s="18" t="inlineStr">
        <is>
          <t>Tổng ôn tập tuần &amp; Luyện đề quá khứ R08</t>
        </is>
      </c>
      <c r="L49" s="17" t="inlineStr"/>
      <c r="M49" s="17" t="inlineStr">
        <is>
          <t>未</t>
        </is>
      </c>
      <c r="N49" s="17" t="inlineStr">
        <is>
          <t>未着手</t>
        </is>
      </c>
      <c r="O49" s="18" t="inlineStr"/>
    </row>
    <row r="50">
      <c r="B50" s="9" t="inlineStr">
        <is>
          <t>Day 043</t>
        </is>
      </c>
      <c r="C50" s="9" t="inlineStr">
        <is>
          <t>2026/11/02</t>
        </is>
      </c>
      <c r="D50" s="9" t="inlineStr">
        <is>
          <t>月 (T2)</t>
        </is>
      </c>
      <c r="E50" s="9" t="n">
        <v>1</v>
      </c>
      <c r="F50" s="9" t="n">
        <v>0</v>
      </c>
      <c r="G50" s="9">
        <f>F50-E50</f>
        <v/>
      </c>
      <c r="H50" s="9">
        <f>IF(G50&lt;0, -G50, 0)</f>
        <v/>
      </c>
      <c r="I50" s="9" t="inlineStr">
        <is>
          <t>平日 (Ngày thường)</t>
        </is>
      </c>
      <c r="J50" s="9" t="inlineStr">
        <is>
          <t>科目A (かやのき)</t>
        </is>
      </c>
      <c r="K50" s="8" t="inlineStr">
        <is>
          <t>かやのき 第7章: Lý thuyết trọng tâm</t>
        </is>
      </c>
      <c r="L50" s="9" t="inlineStr"/>
      <c r="M50" s="9" t="inlineStr">
        <is>
          <t>未</t>
        </is>
      </c>
      <c r="N50" s="9" t="inlineStr">
        <is>
          <t>未着手</t>
        </is>
      </c>
      <c r="O50" s="8" t="inlineStr"/>
    </row>
    <row r="51">
      <c r="B51" s="17" t="inlineStr">
        <is>
          <t>Day 044</t>
        </is>
      </c>
      <c r="C51" s="17" t="inlineStr">
        <is>
          <t>2026/11/03</t>
        </is>
      </c>
      <c r="D51" s="17" t="inlineStr">
        <is>
          <t>火 (T3)</t>
        </is>
      </c>
      <c r="E51" s="17" t="n">
        <v>2.5</v>
      </c>
      <c r="F51" s="17" t="n">
        <v>0</v>
      </c>
      <c r="G51" s="17">
        <f>F51-E51</f>
        <v/>
      </c>
      <c r="H51" s="17">
        <f>IF(G51&lt;0, -G51, 0)</f>
        <v/>
      </c>
      <c r="I51" s="17" t="inlineStr">
        <is>
          <t>🎌 祝日 (文化の日)</t>
        </is>
      </c>
      <c r="J51" s="17" t="inlineStr">
        <is>
          <t>科目B (福嶋)</t>
        </is>
      </c>
      <c r="K51" s="18" t="inlineStr">
        <is>
          <t>福嶋 アルゴリズム 第7章: Ngôn ngữ giả &amp; Trace</t>
        </is>
      </c>
      <c r="L51" s="17" t="inlineStr"/>
      <c r="M51" s="17" t="inlineStr">
        <is>
          <t>未</t>
        </is>
      </c>
      <c r="N51" s="17" t="inlineStr">
        <is>
          <t>未着手</t>
        </is>
      </c>
      <c r="O51" s="18" t="inlineStr"/>
    </row>
    <row r="52">
      <c r="B52" s="9" t="inlineStr">
        <is>
          <t>Day 045</t>
        </is>
      </c>
      <c r="C52" s="9" t="inlineStr">
        <is>
          <t>2026/11/04</t>
        </is>
      </c>
      <c r="D52" s="9" t="inlineStr">
        <is>
          <t>水 (T4)</t>
        </is>
      </c>
      <c r="E52" s="9" t="n">
        <v>1</v>
      </c>
      <c r="F52" s="9" t="n">
        <v>0</v>
      </c>
      <c r="G52" s="9">
        <f>F52-E52</f>
        <v/>
      </c>
      <c r="H52" s="9">
        <f>IF(G52&lt;0, -G52, 0)</f>
        <v/>
      </c>
      <c r="I52" s="9" t="inlineStr">
        <is>
          <t>平日 (Ngày thường)</t>
        </is>
      </c>
      <c r="J52" s="9" t="inlineStr">
        <is>
          <t>科目A (かやのき)</t>
        </is>
      </c>
      <c r="K52" s="8" t="inlineStr">
        <is>
          <t>かやのき 第7章: Lý thuyết trọng tâm</t>
        </is>
      </c>
      <c r="L52" s="9" t="inlineStr"/>
      <c r="M52" s="9" t="inlineStr">
        <is>
          <t>未</t>
        </is>
      </c>
      <c r="N52" s="9" t="inlineStr">
        <is>
          <t>未着手</t>
        </is>
      </c>
      <c r="O52" s="8" t="inlineStr"/>
    </row>
    <row r="53">
      <c r="B53" s="9" t="inlineStr">
        <is>
          <t>Day 046</t>
        </is>
      </c>
      <c r="C53" s="9" t="inlineStr">
        <is>
          <t>2026/11/05</t>
        </is>
      </c>
      <c r="D53" s="9" t="inlineStr">
        <is>
          <t>木 (T5)</t>
        </is>
      </c>
      <c r="E53" s="9" t="n">
        <v>1</v>
      </c>
      <c r="F53" s="9" t="n">
        <v>0</v>
      </c>
      <c r="G53" s="9">
        <f>F53-E53</f>
        <v/>
      </c>
      <c r="H53" s="9">
        <f>IF(G53&lt;0, -G53, 0)</f>
        <v/>
      </c>
      <c r="I53" s="9" t="inlineStr">
        <is>
          <t>平日 (Ngày thường)</t>
        </is>
      </c>
      <c r="J53" s="9" t="inlineStr">
        <is>
          <t>科目B (福嶋)</t>
        </is>
      </c>
      <c r="K53" s="8" t="inlineStr">
        <is>
          <t>福嶋 アルゴリズム 第7章: Ngôn ngữ giả &amp; Trace</t>
        </is>
      </c>
      <c r="L53" s="9" t="inlineStr"/>
      <c r="M53" s="9" t="inlineStr">
        <is>
          <t>未</t>
        </is>
      </c>
      <c r="N53" s="9" t="inlineStr">
        <is>
          <t>未着手</t>
        </is>
      </c>
      <c r="O53" s="8" t="inlineStr"/>
    </row>
    <row r="54">
      <c r="B54" s="9" t="inlineStr">
        <is>
          <t>Day 047</t>
        </is>
      </c>
      <c r="C54" s="9" t="inlineStr">
        <is>
          <t>2026/11/06</t>
        </is>
      </c>
      <c r="D54" s="9" t="inlineStr">
        <is>
          <t>金 (T6)</t>
        </is>
      </c>
      <c r="E54" s="9" t="n">
        <v>1</v>
      </c>
      <c r="F54" s="9" t="n">
        <v>0</v>
      </c>
      <c r="G54" s="9">
        <f>F54-E54</f>
        <v/>
      </c>
      <c r="H54" s="9">
        <f>IF(G54&lt;0, -G54, 0)</f>
        <v/>
      </c>
      <c r="I54" s="9" t="inlineStr">
        <is>
          <t>平日 (Ngày thường)</t>
        </is>
      </c>
      <c r="J54" s="9" t="inlineStr">
        <is>
          <t>科目A (かやのき)</t>
        </is>
      </c>
      <c r="K54" s="8" t="inlineStr">
        <is>
          <t>かやのき 第7章: Lý thuyết trọng tâm</t>
        </is>
      </c>
      <c r="L54" s="9" t="inlineStr"/>
      <c r="M54" s="9" t="inlineStr">
        <is>
          <t>未</t>
        </is>
      </c>
      <c r="N54" s="9" t="inlineStr">
        <is>
          <t>未着手</t>
        </is>
      </c>
      <c r="O54" s="8" t="inlineStr"/>
    </row>
    <row r="55">
      <c r="B55" s="17" t="inlineStr">
        <is>
          <t>Day 048</t>
        </is>
      </c>
      <c r="C55" s="17" t="inlineStr">
        <is>
          <t>2026/11/07</t>
        </is>
      </c>
      <c r="D55" s="17" t="inlineStr">
        <is>
          <t>土 (T7)</t>
        </is>
      </c>
      <c r="E55" s="17" t="n">
        <v>2.5</v>
      </c>
      <c r="F55" s="17" t="n">
        <v>0</v>
      </c>
      <c r="G55" s="17">
        <f>F55-E55</f>
        <v/>
      </c>
      <c r="H55" s="17">
        <f>IF(G55&lt;0, -G55, 0)</f>
        <v/>
      </c>
      <c r="I55" s="17" t="inlineStr">
        <is>
          <t>週末 (Cuối tuần)</t>
        </is>
      </c>
      <c r="J55" s="17" t="inlineStr">
        <is>
          <t>科目B (福嶋)</t>
        </is>
      </c>
      <c r="K55" s="18" t="inlineStr">
        <is>
          <t>福嶋 アルゴリズム 第7章: Ngôn ngữ giả &amp; Trace</t>
        </is>
      </c>
      <c r="L55" s="17" t="inlineStr"/>
      <c r="M55" s="17" t="inlineStr">
        <is>
          <t>未</t>
        </is>
      </c>
      <c r="N55" s="17" t="inlineStr">
        <is>
          <t>未着手</t>
        </is>
      </c>
      <c r="O55" s="18" t="inlineStr"/>
    </row>
    <row r="56">
      <c r="B56" s="17" t="inlineStr">
        <is>
          <t>Day 049</t>
        </is>
      </c>
      <c r="C56" s="17" t="inlineStr">
        <is>
          <t>2026/11/08</t>
        </is>
      </c>
      <c r="D56" s="17" t="inlineStr">
        <is>
          <t>日 (CN)</t>
        </is>
      </c>
      <c r="E56" s="17" t="n">
        <v>2.5</v>
      </c>
      <c r="F56" s="17" t="n">
        <v>0</v>
      </c>
      <c r="G56" s="17">
        <f>F56-E56</f>
        <v/>
      </c>
      <c r="H56" s="17">
        <f>IF(G56&lt;0, -G56, 0)</f>
        <v/>
      </c>
      <c r="I56" s="17" t="inlineStr">
        <is>
          <t>週末 (Cuối tuần)</t>
        </is>
      </c>
      <c r="J56" s="17" t="inlineStr">
        <is>
          <t>過去問・復習</t>
        </is>
      </c>
      <c r="K56" s="18" t="inlineStr">
        <is>
          <t>Tổng ôn tập tuần &amp; Luyện đề quá khứ R08</t>
        </is>
      </c>
      <c r="L56" s="17" t="inlineStr"/>
      <c r="M56" s="17" t="inlineStr">
        <is>
          <t>未</t>
        </is>
      </c>
      <c r="N56" s="17" t="inlineStr">
        <is>
          <t>未着手</t>
        </is>
      </c>
      <c r="O56" s="18" t="inlineStr"/>
    </row>
    <row r="57">
      <c r="B57" s="9" t="inlineStr">
        <is>
          <t>Day 050</t>
        </is>
      </c>
      <c r="C57" s="9" t="inlineStr">
        <is>
          <t>2026/11/09</t>
        </is>
      </c>
      <c r="D57" s="9" t="inlineStr">
        <is>
          <t>月 (T2)</t>
        </is>
      </c>
      <c r="E57" s="9" t="n">
        <v>1</v>
      </c>
      <c r="F57" s="9" t="n">
        <v>0</v>
      </c>
      <c r="G57" s="9">
        <f>F57-E57</f>
        <v/>
      </c>
      <c r="H57" s="9">
        <f>IF(G57&lt;0, -G57, 0)</f>
        <v/>
      </c>
      <c r="I57" s="9" t="inlineStr">
        <is>
          <t>平日 (Ngày thường)</t>
        </is>
      </c>
      <c r="J57" s="9" t="inlineStr">
        <is>
          <t>科目A (かやのき)</t>
        </is>
      </c>
      <c r="K57" s="8" t="inlineStr">
        <is>
          <t>かやのき 第8章: Lý thuyết trọng tâm</t>
        </is>
      </c>
      <c r="L57" s="9" t="inlineStr"/>
      <c r="M57" s="9" t="inlineStr">
        <is>
          <t>未</t>
        </is>
      </c>
      <c r="N57" s="9" t="inlineStr">
        <is>
          <t>未着手</t>
        </is>
      </c>
      <c r="O57" s="8" t="inlineStr"/>
    </row>
    <row r="58">
      <c r="B58" s="9" t="inlineStr">
        <is>
          <t>Day 051</t>
        </is>
      </c>
      <c r="C58" s="9" t="inlineStr">
        <is>
          <t>2026/11/10</t>
        </is>
      </c>
      <c r="D58" s="9" t="inlineStr">
        <is>
          <t>火 (T3)</t>
        </is>
      </c>
      <c r="E58" s="9" t="n">
        <v>1</v>
      </c>
      <c r="F58" s="9" t="n">
        <v>0</v>
      </c>
      <c r="G58" s="9">
        <f>F58-E58</f>
        <v/>
      </c>
      <c r="H58" s="9">
        <f>IF(G58&lt;0, -G58, 0)</f>
        <v/>
      </c>
      <c r="I58" s="9" t="inlineStr">
        <is>
          <t>平日 (Ngày thường)</t>
        </is>
      </c>
      <c r="J58" s="9" t="inlineStr">
        <is>
          <t>科目B (福嶋)</t>
        </is>
      </c>
      <c r="K58" s="8" t="inlineStr">
        <is>
          <t>福嶋 アルゴリズム 第8章: Ngôn ngữ giả &amp; Trace</t>
        </is>
      </c>
      <c r="L58" s="9" t="inlineStr"/>
      <c r="M58" s="9" t="inlineStr">
        <is>
          <t>未</t>
        </is>
      </c>
      <c r="N58" s="9" t="inlineStr">
        <is>
          <t>未着手</t>
        </is>
      </c>
      <c r="O58" s="8" t="inlineStr"/>
    </row>
    <row r="59">
      <c r="B59" s="9" t="inlineStr">
        <is>
          <t>Day 052</t>
        </is>
      </c>
      <c r="C59" s="9" t="inlineStr">
        <is>
          <t>2026/11/11</t>
        </is>
      </c>
      <c r="D59" s="9" t="inlineStr">
        <is>
          <t>水 (T4)</t>
        </is>
      </c>
      <c r="E59" s="9" t="n">
        <v>1</v>
      </c>
      <c r="F59" s="9" t="n">
        <v>0</v>
      </c>
      <c r="G59" s="9">
        <f>F59-E59</f>
        <v/>
      </c>
      <c r="H59" s="9">
        <f>IF(G59&lt;0, -G59, 0)</f>
        <v/>
      </c>
      <c r="I59" s="9" t="inlineStr">
        <is>
          <t>平日 (Ngày thường)</t>
        </is>
      </c>
      <c r="J59" s="9" t="inlineStr">
        <is>
          <t>科目A (かやのき)</t>
        </is>
      </c>
      <c r="K59" s="8" t="inlineStr">
        <is>
          <t>かやのき 第8章: Lý thuyết trọng tâm</t>
        </is>
      </c>
      <c r="L59" s="9" t="inlineStr"/>
      <c r="M59" s="9" t="inlineStr">
        <is>
          <t>未</t>
        </is>
      </c>
      <c r="N59" s="9" t="inlineStr">
        <is>
          <t>未着手</t>
        </is>
      </c>
      <c r="O59" s="8" t="inlineStr"/>
    </row>
    <row r="60">
      <c r="B60" s="9" t="inlineStr">
        <is>
          <t>Day 053</t>
        </is>
      </c>
      <c r="C60" s="9" t="inlineStr">
        <is>
          <t>2026/11/12</t>
        </is>
      </c>
      <c r="D60" s="9" t="inlineStr">
        <is>
          <t>木 (T5)</t>
        </is>
      </c>
      <c r="E60" s="9" t="n">
        <v>1</v>
      </c>
      <c r="F60" s="9" t="n">
        <v>0</v>
      </c>
      <c r="G60" s="9">
        <f>F60-E60</f>
        <v/>
      </c>
      <c r="H60" s="9">
        <f>IF(G60&lt;0, -G60, 0)</f>
        <v/>
      </c>
      <c r="I60" s="9" t="inlineStr">
        <is>
          <t>平日 (Ngày thường)</t>
        </is>
      </c>
      <c r="J60" s="9" t="inlineStr">
        <is>
          <t>科目B (福嶋)</t>
        </is>
      </c>
      <c r="K60" s="8" t="inlineStr">
        <is>
          <t>福嶋 アルゴリズム 第8章: Ngôn ngữ giả &amp; Trace</t>
        </is>
      </c>
      <c r="L60" s="9" t="inlineStr"/>
      <c r="M60" s="9" t="inlineStr">
        <is>
          <t>未</t>
        </is>
      </c>
      <c r="N60" s="9" t="inlineStr">
        <is>
          <t>未着手</t>
        </is>
      </c>
      <c r="O60" s="8" t="inlineStr"/>
    </row>
    <row r="61">
      <c r="B61" s="9" t="inlineStr">
        <is>
          <t>Day 054</t>
        </is>
      </c>
      <c r="C61" s="9" t="inlineStr">
        <is>
          <t>2026/11/13</t>
        </is>
      </c>
      <c r="D61" s="9" t="inlineStr">
        <is>
          <t>金 (T6)</t>
        </is>
      </c>
      <c r="E61" s="9" t="n">
        <v>1</v>
      </c>
      <c r="F61" s="9" t="n">
        <v>0</v>
      </c>
      <c r="G61" s="9">
        <f>F61-E61</f>
        <v/>
      </c>
      <c r="H61" s="9">
        <f>IF(G61&lt;0, -G61, 0)</f>
        <v/>
      </c>
      <c r="I61" s="9" t="inlineStr">
        <is>
          <t>平日 (Ngày thường)</t>
        </is>
      </c>
      <c r="J61" s="9" t="inlineStr">
        <is>
          <t>科目A (かやのき)</t>
        </is>
      </c>
      <c r="K61" s="8" t="inlineStr">
        <is>
          <t>かやのき 第8章: Lý thuyết trọng tâm</t>
        </is>
      </c>
      <c r="L61" s="9" t="inlineStr"/>
      <c r="M61" s="9" t="inlineStr">
        <is>
          <t>未</t>
        </is>
      </c>
      <c r="N61" s="9" t="inlineStr">
        <is>
          <t>未着手</t>
        </is>
      </c>
      <c r="O61" s="8" t="inlineStr"/>
    </row>
    <row r="62">
      <c r="B62" s="17" t="inlineStr">
        <is>
          <t>Day 055</t>
        </is>
      </c>
      <c r="C62" s="17" t="inlineStr">
        <is>
          <t>2026/11/14</t>
        </is>
      </c>
      <c r="D62" s="17" t="inlineStr">
        <is>
          <t>土 (T7)</t>
        </is>
      </c>
      <c r="E62" s="17" t="n">
        <v>2.5</v>
      </c>
      <c r="F62" s="17" t="n">
        <v>0</v>
      </c>
      <c r="G62" s="17">
        <f>F62-E62</f>
        <v/>
      </c>
      <c r="H62" s="17">
        <f>IF(G62&lt;0, -G62, 0)</f>
        <v/>
      </c>
      <c r="I62" s="17" t="inlineStr">
        <is>
          <t>週末 (Cuối tuần)</t>
        </is>
      </c>
      <c r="J62" s="17" t="inlineStr">
        <is>
          <t>科目B (福嶋)</t>
        </is>
      </c>
      <c r="K62" s="18" t="inlineStr">
        <is>
          <t>福嶋 アルゴリズム 第8章: Ngôn ngữ giả &amp; Trace</t>
        </is>
      </c>
      <c r="L62" s="17" t="inlineStr"/>
      <c r="M62" s="17" t="inlineStr">
        <is>
          <t>未</t>
        </is>
      </c>
      <c r="N62" s="17" t="inlineStr">
        <is>
          <t>未着手</t>
        </is>
      </c>
      <c r="O62" s="18" t="inlineStr"/>
    </row>
    <row r="63">
      <c r="B63" s="17" t="inlineStr">
        <is>
          <t>Day 056</t>
        </is>
      </c>
      <c r="C63" s="17" t="inlineStr">
        <is>
          <t>2026/11/15</t>
        </is>
      </c>
      <c r="D63" s="17" t="inlineStr">
        <is>
          <t>日 (CN)</t>
        </is>
      </c>
      <c r="E63" s="17" t="n">
        <v>2.5</v>
      </c>
      <c r="F63" s="17" t="n">
        <v>0</v>
      </c>
      <c r="G63" s="17">
        <f>F63-E63</f>
        <v/>
      </c>
      <c r="H63" s="17">
        <f>IF(G63&lt;0, -G63, 0)</f>
        <v/>
      </c>
      <c r="I63" s="17" t="inlineStr">
        <is>
          <t>週末 (Cuối tuần)</t>
        </is>
      </c>
      <c r="J63" s="17" t="inlineStr">
        <is>
          <t>過去問・復習</t>
        </is>
      </c>
      <c r="K63" s="18" t="inlineStr">
        <is>
          <t>Tổng ôn tập tuần &amp; Luyện đề quá khứ R08</t>
        </is>
      </c>
      <c r="L63" s="17" t="inlineStr"/>
      <c r="M63" s="17" t="inlineStr">
        <is>
          <t>未</t>
        </is>
      </c>
      <c r="N63" s="17" t="inlineStr">
        <is>
          <t>未着手</t>
        </is>
      </c>
      <c r="O63" s="18" t="inlineStr"/>
    </row>
    <row r="64">
      <c r="B64" s="9" t="inlineStr">
        <is>
          <t>Day 057</t>
        </is>
      </c>
      <c r="C64" s="9" t="inlineStr">
        <is>
          <t>2026/11/16</t>
        </is>
      </c>
      <c r="D64" s="9" t="inlineStr">
        <is>
          <t>月 (T2)</t>
        </is>
      </c>
      <c r="E64" s="9" t="n">
        <v>1</v>
      </c>
      <c r="F64" s="9" t="n">
        <v>0</v>
      </c>
      <c r="G64" s="9">
        <f>F64-E64</f>
        <v/>
      </c>
      <c r="H64" s="9">
        <f>IF(G64&lt;0, -G64, 0)</f>
        <v/>
      </c>
      <c r="I64" s="9" t="inlineStr">
        <is>
          <t>平日 (Ngày thường)</t>
        </is>
      </c>
      <c r="J64" s="9" t="inlineStr">
        <is>
          <t>科目A (かやのき)</t>
        </is>
      </c>
      <c r="K64" s="8" t="inlineStr">
        <is>
          <t>かやのき 第9章: Lý thuyết trọng tâm</t>
        </is>
      </c>
      <c r="L64" s="9" t="inlineStr"/>
      <c r="M64" s="9" t="inlineStr">
        <is>
          <t>未</t>
        </is>
      </c>
      <c r="N64" s="9" t="inlineStr">
        <is>
          <t>未着手</t>
        </is>
      </c>
      <c r="O64" s="8" t="inlineStr"/>
    </row>
    <row r="65">
      <c r="B65" s="9" t="inlineStr">
        <is>
          <t>Day 058</t>
        </is>
      </c>
      <c r="C65" s="9" t="inlineStr">
        <is>
          <t>2026/11/17</t>
        </is>
      </c>
      <c r="D65" s="9" t="inlineStr">
        <is>
          <t>火 (T3)</t>
        </is>
      </c>
      <c r="E65" s="9" t="n">
        <v>1</v>
      </c>
      <c r="F65" s="9" t="n">
        <v>0</v>
      </c>
      <c r="G65" s="9">
        <f>F65-E65</f>
        <v/>
      </c>
      <c r="H65" s="9">
        <f>IF(G65&lt;0, -G65, 0)</f>
        <v/>
      </c>
      <c r="I65" s="9" t="inlineStr">
        <is>
          <t>平日 (Ngày thường)</t>
        </is>
      </c>
      <c r="J65" s="9" t="inlineStr">
        <is>
          <t>科目B (福嶋)</t>
        </is>
      </c>
      <c r="K65" s="8" t="inlineStr">
        <is>
          <t>福嶋 アルゴリズム 第9章: Ngôn ngữ giả &amp; Trace</t>
        </is>
      </c>
      <c r="L65" s="9" t="inlineStr"/>
      <c r="M65" s="9" t="inlineStr">
        <is>
          <t>未</t>
        </is>
      </c>
      <c r="N65" s="9" t="inlineStr">
        <is>
          <t>未着手</t>
        </is>
      </c>
      <c r="O65" s="8" t="inlineStr"/>
    </row>
    <row r="66">
      <c r="B66" s="9" t="inlineStr">
        <is>
          <t>Day 059</t>
        </is>
      </c>
      <c r="C66" s="9" t="inlineStr">
        <is>
          <t>2026/11/18</t>
        </is>
      </c>
      <c r="D66" s="9" t="inlineStr">
        <is>
          <t>水 (T4)</t>
        </is>
      </c>
      <c r="E66" s="9" t="n">
        <v>1</v>
      </c>
      <c r="F66" s="9" t="n">
        <v>0</v>
      </c>
      <c r="G66" s="9">
        <f>F66-E66</f>
        <v/>
      </c>
      <c r="H66" s="9">
        <f>IF(G66&lt;0, -G66, 0)</f>
        <v/>
      </c>
      <c r="I66" s="9" t="inlineStr">
        <is>
          <t>平日 (Ngày thường)</t>
        </is>
      </c>
      <c r="J66" s="9" t="inlineStr">
        <is>
          <t>科目A (かやのき)</t>
        </is>
      </c>
      <c r="K66" s="8" t="inlineStr">
        <is>
          <t>かやのき 第9章: Lý thuyết trọng tâm</t>
        </is>
      </c>
      <c r="L66" s="9" t="inlineStr"/>
      <c r="M66" s="9" t="inlineStr">
        <is>
          <t>未</t>
        </is>
      </c>
      <c r="N66" s="9" t="inlineStr">
        <is>
          <t>未着手</t>
        </is>
      </c>
      <c r="O66" s="8" t="inlineStr"/>
    </row>
    <row r="67">
      <c r="B67" s="9" t="inlineStr">
        <is>
          <t>Day 060</t>
        </is>
      </c>
      <c r="C67" s="9" t="inlineStr">
        <is>
          <t>2026/11/19</t>
        </is>
      </c>
      <c r="D67" s="9" t="inlineStr">
        <is>
          <t>木 (T5)</t>
        </is>
      </c>
      <c r="E67" s="9" t="n">
        <v>1</v>
      </c>
      <c r="F67" s="9" t="n">
        <v>0</v>
      </c>
      <c r="G67" s="9">
        <f>F67-E67</f>
        <v/>
      </c>
      <c r="H67" s="9">
        <f>IF(G67&lt;0, -G67, 0)</f>
        <v/>
      </c>
      <c r="I67" s="9" t="inlineStr">
        <is>
          <t>平日 (Ngày thường)</t>
        </is>
      </c>
      <c r="J67" s="9" t="inlineStr">
        <is>
          <t>科目B (福嶋)</t>
        </is>
      </c>
      <c r="K67" s="8" t="inlineStr">
        <is>
          <t>福嶋 アルゴリズム 第9章: Ngôn ngữ giả &amp; Trace</t>
        </is>
      </c>
      <c r="L67" s="9" t="inlineStr"/>
      <c r="M67" s="9" t="inlineStr">
        <is>
          <t>未</t>
        </is>
      </c>
      <c r="N67" s="9" t="inlineStr">
        <is>
          <t>未着手</t>
        </is>
      </c>
      <c r="O67" s="8" t="inlineStr"/>
    </row>
    <row r="68">
      <c r="B68" s="9" t="inlineStr">
        <is>
          <t>Day 061</t>
        </is>
      </c>
      <c r="C68" s="9" t="inlineStr">
        <is>
          <t>2026/11/20</t>
        </is>
      </c>
      <c r="D68" s="9" t="inlineStr">
        <is>
          <t>金 (T6)</t>
        </is>
      </c>
      <c r="E68" s="9" t="n">
        <v>1</v>
      </c>
      <c r="F68" s="9" t="n">
        <v>0</v>
      </c>
      <c r="G68" s="9">
        <f>F68-E68</f>
        <v/>
      </c>
      <c r="H68" s="9">
        <f>IF(G68&lt;0, -G68, 0)</f>
        <v/>
      </c>
      <c r="I68" s="9" t="inlineStr">
        <is>
          <t>平日 (Ngày thường)</t>
        </is>
      </c>
      <c r="J68" s="9" t="inlineStr">
        <is>
          <t>科目A (かやのき)</t>
        </is>
      </c>
      <c r="K68" s="8" t="inlineStr">
        <is>
          <t>かやのき 第9章: Lý thuyết trọng tâm</t>
        </is>
      </c>
      <c r="L68" s="9" t="inlineStr"/>
      <c r="M68" s="9" t="inlineStr">
        <is>
          <t>未</t>
        </is>
      </c>
      <c r="N68" s="9" t="inlineStr">
        <is>
          <t>未着手</t>
        </is>
      </c>
      <c r="O68" s="8" t="inlineStr"/>
    </row>
    <row r="69">
      <c r="B69" s="17" t="inlineStr">
        <is>
          <t>Day 062</t>
        </is>
      </c>
      <c r="C69" s="17" t="inlineStr">
        <is>
          <t>2026/11/21</t>
        </is>
      </c>
      <c r="D69" s="17" t="inlineStr">
        <is>
          <t>土 (T7)</t>
        </is>
      </c>
      <c r="E69" s="17" t="n">
        <v>2.5</v>
      </c>
      <c r="F69" s="17" t="n">
        <v>0</v>
      </c>
      <c r="G69" s="17">
        <f>F69-E69</f>
        <v/>
      </c>
      <c r="H69" s="17">
        <f>IF(G69&lt;0, -G69, 0)</f>
        <v/>
      </c>
      <c r="I69" s="17" t="inlineStr">
        <is>
          <t>週末 (Cuối tuần)</t>
        </is>
      </c>
      <c r="J69" s="17" t="inlineStr">
        <is>
          <t>科目B (福嶋)</t>
        </is>
      </c>
      <c r="K69" s="18" t="inlineStr">
        <is>
          <t>福嶋 アルゴリズム 第9章: Ngôn ngữ giả &amp; Trace</t>
        </is>
      </c>
      <c r="L69" s="17" t="inlineStr"/>
      <c r="M69" s="17" t="inlineStr">
        <is>
          <t>未</t>
        </is>
      </c>
      <c r="N69" s="17" t="inlineStr">
        <is>
          <t>未着手</t>
        </is>
      </c>
      <c r="O69" s="18" t="inlineStr"/>
    </row>
    <row r="70">
      <c r="B70" s="17" t="inlineStr">
        <is>
          <t>Day 063</t>
        </is>
      </c>
      <c r="C70" s="17" t="inlineStr">
        <is>
          <t>2026/11/22</t>
        </is>
      </c>
      <c r="D70" s="17" t="inlineStr">
        <is>
          <t>日 (CN)</t>
        </is>
      </c>
      <c r="E70" s="17" t="n">
        <v>2.5</v>
      </c>
      <c r="F70" s="17" t="n">
        <v>0</v>
      </c>
      <c r="G70" s="17">
        <f>F70-E70</f>
        <v/>
      </c>
      <c r="H70" s="17">
        <f>IF(G70&lt;0, -G70, 0)</f>
        <v/>
      </c>
      <c r="I70" s="17" t="inlineStr">
        <is>
          <t>週末 (Cuối tuần)</t>
        </is>
      </c>
      <c r="J70" s="17" t="inlineStr">
        <is>
          <t>過去問・復習</t>
        </is>
      </c>
      <c r="K70" s="18" t="inlineStr">
        <is>
          <t>Tổng ôn tập tuần &amp; Luyện đề quá khứ R08</t>
        </is>
      </c>
      <c r="L70" s="17" t="inlineStr"/>
      <c r="M70" s="17" t="inlineStr">
        <is>
          <t>未</t>
        </is>
      </c>
      <c r="N70" s="17" t="inlineStr">
        <is>
          <t>未着手</t>
        </is>
      </c>
      <c r="O70" s="18" t="inlineStr"/>
    </row>
    <row r="71">
      <c r="B71" s="17" t="inlineStr">
        <is>
          <t>Day 064</t>
        </is>
      </c>
      <c r="C71" s="17" t="inlineStr">
        <is>
          <t>2026/11/23</t>
        </is>
      </c>
      <c r="D71" s="17" t="inlineStr">
        <is>
          <t>月 (T2)</t>
        </is>
      </c>
      <c r="E71" s="17" t="n">
        <v>2.5</v>
      </c>
      <c r="F71" s="17" t="n">
        <v>0</v>
      </c>
      <c r="G71" s="17">
        <f>F71-E71</f>
        <v/>
      </c>
      <c r="H71" s="17">
        <f>IF(G71&lt;0, -G71, 0)</f>
        <v/>
      </c>
      <c r="I71" s="17" t="inlineStr">
        <is>
          <t>🎌 祝日 (勤労感謝の日)</t>
        </is>
      </c>
      <c r="J71" s="17" t="inlineStr">
        <is>
          <t>科目A (かやのき)</t>
        </is>
      </c>
      <c r="K71" s="18" t="inlineStr">
        <is>
          <t>かやのき 第10章: Lý thuyết trọng tâm</t>
        </is>
      </c>
      <c r="L71" s="17" t="inlineStr"/>
      <c r="M71" s="17" t="inlineStr">
        <is>
          <t>未</t>
        </is>
      </c>
      <c r="N71" s="17" t="inlineStr">
        <is>
          <t>未着手</t>
        </is>
      </c>
      <c r="O71" s="18" t="inlineStr"/>
    </row>
    <row r="72">
      <c r="B72" s="9" t="inlineStr">
        <is>
          <t>Day 065</t>
        </is>
      </c>
      <c r="C72" s="9" t="inlineStr">
        <is>
          <t>2026/11/24</t>
        </is>
      </c>
      <c r="D72" s="9" t="inlineStr">
        <is>
          <t>火 (T3)</t>
        </is>
      </c>
      <c r="E72" s="9" t="n">
        <v>1</v>
      </c>
      <c r="F72" s="9" t="n">
        <v>0</v>
      </c>
      <c r="G72" s="9">
        <f>F72-E72</f>
        <v/>
      </c>
      <c r="H72" s="9">
        <f>IF(G72&lt;0, -G72, 0)</f>
        <v/>
      </c>
      <c r="I72" s="9" t="inlineStr">
        <is>
          <t>平日 (Ngày thường)</t>
        </is>
      </c>
      <c r="J72" s="9" t="inlineStr">
        <is>
          <t>科目B (福嶋)</t>
        </is>
      </c>
      <c r="K72" s="8" t="inlineStr">
        <is>
          <t>福嶋 アルゴリズム 第10章: Ngôn ngữ giả &amp; Trace</t>
        </is>
      </c>
      <c r="L72" s="9" t="inlineStr"/>
      <c r="M72" s="9" t="inlineStr">
        <is>
          <t>未</t>
        </is>
      </c>
      <c r="N72" s="9" t="inlineStr">
        <is>
          <t>未着手</t>
        </is>
      </c>
      <c r="O72" s="8" t="inlineStr"/>
    </row>
    <row r="73">
      <c r="B73" s="9" t="inlineStr">
        <is>
          <t>Day 066</t>
        </is>
      </c>
      <c r="C73" s="9" t="inlineStr">
        <is>
          <t>2026/11/25</t>
        </is>
      </c>
      <c r="D73" s="9" t="inlineStr">
        <is>
          <t>水 (T4)</t>
        </is>
      </c>
      <c r="E73" s="9" t="n">
        <v>1</v>
      </c>
      <c r="F73" s="9" t="n">
        <v>0</v>
      </c>
      <c r="G73" s="9">
        <f>F73-E73</f>
        <v/>
      </c>
      <c r="H73" s="9">
        <f>IF(G73&lt;0, -G73, 0)</f>
        <v/>
      </c>
      <c r="I73" s="9" t="inlineStr">
        <is>
          <t>平日 (Ngày thường)</t>
        </is>
      </c>
      <c r="J73" s="9" t="inlineStr">
        <is>
          <t>科目A (かやのき)</t>
        </is>
      </c>
      <c r="K73" s="8" t="inlineStr">
        <is>
          <t>かやのき 第10章: Lý thuyết trọng tâm</t>
        </is>
      </c>
      <c r="L73" s="9" t="inlineStr"/>
      <c r="M73" s="9" t="inlineStr">
        <is>
          <t>未</t>
        </is>
      </c>
      <c r="N73" s="9" t="inlineStr">
        <is>
          <t>未着手</t>
        </is>
      </c>
      <c r="O73" s="8" t="inlineStr"/>
    </row>
    <row r="74">
      <c r="B74" s="9" t="inlineStr">
        <is>
          <t>Day 067</t>
        </is>
      </c>
      <c r="C74" s="9" t="inlineStr">
        <is>
          <t>2026/11/26</t>
        </is>
      </c>
      <c r="D74" s="9" t="inlineStr">
        <is>
          <t>木 (T5)</t>
        </is>
      </c>
      <c r="E74" s="9" t="n">
        <v>1</v>
      </c>
      <c r="F74" s="9" t="n">
        <v>0</v>
      </c>
      <c r="G74" s="9">
        <f>F74-E74</f>
        <v/>
      </c>
      <c r="H74" s="9">
        <f>IF(G74&lt;0, -G74, 0)</f>
        <v/>
      </c>
      <c r="I74" s="9" t="inlineStr">
        <is>
          <t>平日 (Ngày thường)</t>
        </is>
      </c>
      <c r="J74" s="9" t="inlineStr">
        <is>
          <t>科目B (福嶋)</t>
        </is>
      </c>
      <c r="K74" s="8" t="inlineStr">
        <is>
          <t>福嶋 アルゴリズム 第10章: Ngôn ngữ giả &amp; Trace</t>
        </is>
      </c>
      <c r="L74" s="9" t="inlineStr"/>
      <c r="M74" s="9" t="inlineStr">
        <is>
          <t>未</t>
        </is>
      </c>
      <c r="N74" s="9" t="inlineStr">
        <is>
          <t>未着手</t>
        </is>
      </c>
      <c r="O74" s="8" t="inlineStr"/>
    </row>
    <row r="75">
      <c r="B75" s="9" t="inlineStr">
        <is>
          <t>Day 068</t>
        </is>
      </c>
      <c r="C75" s="9" t="inlineStr">
        <is>
          <t>2026/11/27</t>
        </is>
      </c>
      <c r="D75" s="9" t="inlineStr">
        <is>
          <t>金 (T6)</t>
        </is>
      </c>
      <c r="E75" s="9" t="n">
        <v>1</v>
      </c>
      <c r="F75" s="9" t="n">
        <v>0</v>
      </c>
      <c r="G75" s="9">
        <f>F75-E75</f>
        <v/>
      </c>
      <c r="H75" s="9">
        <f>IF(G75&lt;0, -G75, 0)</f>
        <v/>
      </c>
      <c r="I75" s="9" t="inlineStr">
        <is>
          <t>平日 (Ngày thường)</t>
        </is>
      </c>
      <c r="J75" s="9" t="inlineStr">
        <is>
          <t>科目A (かやのき)</t>
        </is>
      </c>
      <c r="K75" s="8" t="inlineStr">
        <is>
          <t>かやのき 第10章: Lý thuyết trọng tâm</t>
        </is>
      </c>
      <c r="L75" s="9" t="inlineStr"/>
      <c r="M75" s="9" t="inlineStr">
        <is>
          <t>未</t>
        </is>
      </c>
      <c r="N75" s="9" t="inlineStr">
        <is>
          <t>未着手</t>
        </is>
      </c>
      <c r="O75" s="8" t="inlineStr"/>
    </row>
    <row r="76">
      <c r="B76" s="17" t="inlineStr">
        <is>
          <t>Day 069</t>
        </is>
      </c>
      <c r="C76" s="17" t="inlineStr">
        <is>
          <t>2026/11/28</t>
        </is>
      </c>
      <c r="D76" s="17" t="inlineStr">
        <is>
          <t>土 (T7)</t>
        </is>
      </c>
      <c r="E76" s="17" t="n">
        <v>2.5</v>
      </c>
      <c r="F76" s="17" t="n">
        <v>0</v>
      </c>
      <c r="G76" s="17">
        <f>F76-E76</f>
        <v/>
      </c>
      <c r="H76" s="17">
        <f>IF(G76&lt;0, -G76, 0)</f>
        <v/>
      </c>
      <c r="I76" s="17" t="inlineStr">
        <is>
          <t>週末 (Cuối tuần)</t>
        </is>
      </c>
      <c r="J76" s="17" t="inlineStr">
        <is>
          <t>科目B (福嶋)</t>
        </is>
      </c>
      <c r="K76" s="18" t="inlineStr">
        <is>
          <t>福嶋 アルゴリズム 第10章: Ngôn ngữ giả &amp; Trace</t>
        </is>
      </c>
      <c r="L76" s="17" t="inlineStr"/>
      <c r="M76" s="17" t="inlineStr">
        <is>
          <t>未</t>
        </is>
      </c>
      <c r="N76" s="17" t="inlineStr">
        <is>
          <t>未着手</t>
        </is>
      </c>
      <c r="O76" s="18" t="inlineStr"/>
    </row>
    <row r="77">
      <c r="B77" s="17" t="inlineStr">
        <is>
          <t>Day 070</t>
        </is>
      </c>
      <c r="C77" s="17" t="inlineStr">
        <is>
          <t>2026/11/29</t>
        </is>
      </c>
      <c r="D77" s="17" t="inlineStr">
        <is>
          <t>日 (CN)</t>
        </is>
      </c>
      <c r="E77" s="17" t="n">
        <v>2.5</v>
      </c>
      <c r="F77" s="17" t="n">
        <v>0</v>
      </c>
      <c r="G77" s="17">
        <f>F77-E77</f>
        <v/>
      </c>
      <c r="H77" s="17">
        <f>IF(G77&lt;0, -G77, 0)</f>
        <v/>
      </c>
      <c r="I77" s="17" t="inlineStr">
        <is>
          <t>週末 (Cuối tuần)</t>
        </is>
      </c>
      <c r="J77" s="17" t="inlineStr">
        <is>
          <t>過去問・復習</t>
        </is>
      </c>
      <c r="K77" s="18" t="inlineStr">
        <is>
          <t>Tổng ôn tập tuần &amp; Luyện đề quá khứ R08</t>
        </is>
      </c>
      <c r="L77" s="17" t="inlineStr"/>
      <c r="M77" s="17" t="inlineStr">
        <is>
          <t>未</t>
        </is>
      </c>
      <c r="N77" s="17" t="inlineStr">
        <is>
          <t>未着手</t>
        </is>
      </c>
      <c r="O77" s="18" t="inlineStr"/>
    </row>
    <row r="78">
      <c r="B78" s="9" t="inlineStr">
        <is>
          <t>Day 071</t>
        </is>
      </c>
      <c r="C78" s="9" t="inlineStr">
        <is>
          <t>2026/11/30</t>
        </is>
      </c>
      <c r="D78" s="9" t="inlineStr">
        <is>
          <t>月 (T2)</t>
        </is>
      </c>
      <c r="E78" s="9" t="n">
        <v>1</v>
      </c>
      <c r="F78" s="9" t="n">
        <v>0</v>
      </c>
      <c r="G78" s="9">
        <f>F78-E78</f>
        <v/>
      </c>
      <c r="H78" s="9">
        <f>IF(G78&lt;0, -G78, 0)</f>
        <v/>
      </c>
      <c r="I78" s="9" t="inlineStr">
        <is>
          <t>平日 (Ngày thường)</t>
        </is>
      </c>
      <c r="J78" s="9" t="inlineStr">
        <is>
          <t>科目A (かやのき)</t>
        </is>
      </c>
      <c r="K78" s="8" t="inlineStr">
        <is>
          <t>かやのき 第11章: Lý thuyết trọng tâm</t>
        </is>
      </c>
      <c r="L78" s="9" t="inlineStr"/>
      <c r="M78" s="9" t="inlineStr">
        <is>
          <t>未</t>
        </is>
      </c>
      <c r="N78" s="9" t="inlineStr">
        <is>
          <t>未着手</t>
        </is>
      </c>
      <c r="O78" s="8" t="inlineStr"/>
    </row>
    <row r="79">
      <c r="B79" s="9" t="inlineStr">
        <is>
          <t>Day 072</t>
        </is>
      </c>
      <c r="C79" s="9" t="inlineStr">
        <is>
          <t>2026/12/01</t>
        </is>
      </c>
      <c r="D79" s="9" t="inlineStr">
        <is>
          <t>火 (T3)</t>
        </is>
      </c>
      <c r="E79" s="9" t="n">
        <v>1</v>
      </c>
      <c r="F79" s="9" t="n">
        <v>0</v>
      </c>
      <c r="G79" s="9">
        <f>F79-E79</f>
        <v/>
      </c>
      <c r="H79" s="9">
        <f>IF(G79&lt;0, -G79, 0)</f>
        <v/>
      </c>
      <c r="I79" s="9" t="inlineStr">
        <is>
          <t>平日 (Ngày thường)</t>
        </is>
      </c>
      <c r="J79" s="9" t="inlineStr">
        <is>
          <t>科目B (福嶋)</t>
        </is>
      </c>
      <c r="K79" s="8" t="inlineStr">
        <is>
          <t>福嶋 アルゴリズム 第1章: Ngôn ngữ giả &amp; Trace</t>
        </is>
      </c>
      <c r="L79" s="9" t="inlineStr"/>
      <c r="M79" s="9" t="inlineStr">
        <is>
          <t>未</t>
        </is>
      </c>
      <c r="N79" s="9" t="inlineStr">
        <is>
          <t>未着手</t>
        </is>
      </c>
      <c r="O79" s="8" t="inlineStr"/>
    </row>
    <row r="80">
      <c r="B80" s="9" t="inlineStr">
        <is>
          <t>Day 073</t>
        </is>
      </c>
      <c r="C80" s="9" t="inlineStr">
        <is>
          <t>2026/12/02</t>
        </is>
      </c>
      <c r="D80" s="9" t="inlineStr">
        <is>
          <t>水 (T4)</t>
        </is>
      </c>
      <c r="E80" s="9" t="n">
        <v>1</v>
      </c>
      <c r="F80" s="9" t="n">
        <v>0</v>
      </c>
      <c r="G80" s="9">
        <f>F80-E80</f>
        <v/>
      </c>
      <c r="H80" s="9">
        <f>IF(G80&lt;0, -G80, 0)</f>
        <v/>
      </c>
      <c r="I80" s="9" t="inlineStr">
        <is>
          <t>平日 (Ngày thường)</t>
        </is>
      </c>
      <c r="J80" s="9" t="inlineStr">
        <is>
          <t>科目A (かやのき)</t>
        </is>
      </c>
      <c r="K80" s="8" t="inlineStr">
        <is>
          <t>かやのき 第11章: Lý thuyết trọng tâm</t>
        </is>
      </c>
      <c r="L80" s="9" t="inlineStr"/>
      <c r="M80" s="9" t="inlineStr">
        <is>
          <t>未</t>
        </is>
      </c>
      <c r="N80" s="9" t="inlineStr">
        <is>
          <t>未着手</t>
        </is>
      </c>
      <c r="O80" s="8" t="inlineStr"/>
    </row>
    <row r="81">
      <c r="B81" s="9" t="inlineStr">
        <is>
          <t>Day 074</t>
        </is>
      </c>
      <c r="C81" s="9" t="inlineStr">
        <is>
          <t>2026/12/03</t>
        </is>
      </c>
      <c r="D81" s="9" t="inlineStr">
        <is>
          <t>木 (T5)</t>
        </is>
      </c>
      <c r="E81" s="9" t="n">
        <v>1</v>
      </c>
      <c r="F81" s="9" t="n">
        <v>0</v>
      </c>
      <c r="G81" s="9">
        <f>F81-E81</f>
        <v/>
      </c>
      <c r="H81" s="9">
        <f>IF(G81&lt;0, -G81, 0)</f>
        <v/>
      </c>
      <c r="I81" s="9" t="inlineStr">
        <is>
          <t>平日 (Ngày thường)</t>
        </is>
      </c>
      <c r="J81" s="9" t="inlineStr">
        <is>
          <t>科目B (福嶋)</t>
        </is>
      </c>
      <c r="K81" s="8" t="inlineStr">
        <is>
          <t>福嶋 アルゴリズム 第1章: Ngôn ngữ giả &amp; Trace</t>
        </is>
      </c>
      <c r="L81" s="9" t="inlineStr"/>
      <c r="M81" s="9" t="inlineStr">
        <is>
          <t>未</t>
        </is>
      </c>
      <c r="N81" s="9" t="inlineStr">
        <is>
          <t>未着手</t>
        </is>
      </c>
      <c r="O81" s="8" t="inlineStr"/>
    </row>
    <row r="82">
      <c r="B82" s="9" t="inlineStr">
        <is>
          <t>Day 075</t>
        </is>
      </c>
      <c r="C82" s="9" t="inlineStr">
        <is>
          <t>2026/12/04</t>
        </is>
      </c>
      <c r="D82" s="9" t="inlineStr">
        <is>
          <t>金 (T6)</t>
        </is>
      </c>
      <c r="E82" s="9" t="n">
        <v>1</v>
      </c>
      <c r="F82" s="9" t="n">
        <v>0</v>
      </c>
      <c r="G82" s="9">
        <f>F82-E82</f>
        <v/>
      </c>
      <c r="H82" s="9">
        <f>IF(G82&lt;0, -G82, 0)</f>
        <v/>
      </c>
      <c r="I82" s="9" t="inlineStr">
        <is>
          <t>平日 (Ngày thường)</t>
        </is>
      </c>
      <c r="J82" s="9" t="inlineStr">
        <is>
          <t>科目A (かやのき)</t>
        </is>
      </c>
      <c r="K82" s="8" t="inlineStr">
        <is>
          <t>かやのき 第11章: Lý thuyết trọng tâm</t>
        </is>
      </c>
      <c r="L82" s="9" t="inlineStr"/>
      <c r="M82" s="9" t="inlineStr">
        <is>
          <t>未</t>
        </is>
      </c>
      <c r="N82" s="9" t="inlineStr">
        <is>
          <t>未着手</t>
        </is>
      </c>
      <c r="O82" s="8" t="inlineStr"/>
    </row>
    <row r="83">
      <c r="B83" s="17" t="inlineStr">
        <is>
          <t>Day 076</t>
        </is>
      </c>
      <c r="C83" s="17" t="inlineStr">
        <is>
          <t>2026/12/05</t>
        </is>
      </c>
      <c r="D83" s="17" t="inlineStr">
        <is>
          <t>土 (T7)</t>
        </is>
      </c>
      <c r="E83" s="17" t="n">
        <v>2.5</v>
      </c>
      <c r="F83" s="17" t="n">
        <v>0</v>
      </c>
      <c r="G83" s="17">
        <f>F83-E83</f>
        <v/>
      </c>
      <c r="H83" s="17">
        <f>IF(G83&lt;0, -G83, 0)</f>
        <v/>
      </c>
      <c r="I83" s="17" t="inlineStr">
        <is>
          <t>週末 (Cuối tuần)</t>
        </is>
      </c>
      <c r="J83" s="17" t="inlineStr">
        <is>
          <t>科目B (福嶋)</t>
        </is>
      </c>
      <c r="K83" s="18" t="inlineStr">
        <is>
          <t>福嶋 アルゴリズム 第1章: Ngôn ngữ giả &amp; Trace</t>
        </is>
      </c>
      <c r="L83" s="17" t="inlineStr"/>
      <c r="M83" s="17" t="inlineStr">
        <is>
          <t>未</t>
        </is>
      </c>
      <c r="N83" s="17" t="inlineStr">
        <is>
          <t>未着手</t>
        </is>
      </c>
      <c r="O83" s="18" t="inlineStr"/>
    </row>
    <row r="84">
      <c r="B84" s="17" t="inlineStr">
        <is>
          <t>Day 077</t>
        </is>
      </c>
      <c r="C84" s="17" t="inlineStr">
        <is>
          <t>2026/12/06</t>
        </is>
      </c>
      <c r="D84" s="17" t="inlineStr">
        <is>
          <t>日 (CN)</t>
        </is>
      </c>
      <c r="E84" s="17" t="n">
        <v>2.5</v>
      </c>
      <c r="F84" s="17" t="n">
        <v>0</v>
      </c>
      <c r="G84" s="17">
        <f>F84-E84</f>
        <v/>
      </c>
      <c r="H84" s="17">
        <f>IF(G84&lt;0, -G84, 0)</f>
        <v/>
      </c>
      <c r="I84" s="17" t="inlineStr">
        <is>
          <t>週末 (Cuối tuần)</t>
        </is>
      </c>
      <c r="J84" s="17" t="inlineStr">
        <is>
          <t>過去問・復習</t>
        </is>
      </c>
      <c r="K84" s="18" t="inlineStr">
        <is>
          <t>Tổng ôn tập tuần &amp; Luyện đề quá khứ R08</t>
        </is>
      </c>
      <c r="L84" s="17" t="inlineStr"/>
      <c r="M84" s="17" t="inlineStr">
        <is>
          <t>未</t>
        </is>
      </c>
      <c r="N84" s="17" t="inlineStr">
        <is>
          <t>未着手</t>
        </is>
      </c>
      <c r="O84" s="18" t="inlineStr"/>
    </row>
    <row r="85">
      <c r="B85" s="9" t="inlineStr">
        <is>
          <t>Day 078</t>
        </is>
      </c>
      <c r="C85" s="9" t="inlineStr">
        <is>
          <t>2026/12/07</t>
        </is>
      </c>
      <c r="D85" s="9" t="inlineStr">
        <is>
          <t>月 (T2)</t>
        </is>
      </c>
      <c r="E85" s="9" t="n">
        <v>1</v>
      </c>
      <c r="F85" s="9" t="n">
        <v>0</v>
      </c>
      <c r="G85" s="9">
        <f>F85-E85</f>
        <v/>
      </c>
      <c r="H85" s="9">
        <f>IF(G85&lt;0, -G85, 0)</f>
        <v/>
      </c>
      <c r="I85" s="9" t="inlineStr">
        <is>
          <t>平日 (Ngày thường)</t>
        </is>
      </c>
      <c r="J85" s="9" t="inlineStr">
        <is>
          <t>科目A (かやのき)</t>
        </is>
      </c>
      <c r="K85" s="8" t="inlineStr">
        <is>
          <t>かやのき 第12章: Lý thuyết trọng tâm</t>
        </is>
      </c>
      <c r="L85" s="9" t="inlineStr"/>
      <c r="M85" s="9" t="inlineStr">
        <is>
          <t>未</t>
        </is>
      </c>
      <c r="N85" s="9" t="inlineStr">
        <is>
          <t>未着手</t>
        </is>
      </c>
      <c r="O85" s="8" t="inlineStr"/>
    </row>
    <row r="86">
      <c r="B86" s="9" t="inlineStr">
        <is>
          <t>Day 079</t>
        </is>
      </c>
      <c r="C86" s="9" t="inlineStr">
        <is>
          <t>2026/12/08</t>
        </is>
      </c>
      <c r="D86" s="9" t="inlineStr">
        <is>
          <t>火 (T3)</t>
        </is>
      </c>
      <c r="E86" s="9" t="n">
        <v>1</v>
      </c>
      <c r="F86" s="9" t="n">
        <v>0</v>
      </c>
      <c r="G86" s="9">
        <f>F86-E86</f>
        <v/>
      </c>
      <c r="H86" s="9">
        <f>IF(G86&lt;0, -G86, 0)</f>
        <v/>
      </c>
      <c r="I86" s="9" t="inlineStr">
        <is>
          <t>平日 (Ngày thường)</t>
        </is>
      </c>
      <c r="J86" s="9" t="inlineStr">
        <is>
          <t>科目B (福嶋)</t>
        </is>
      </c>
      <c r="K86" s="8" t="inlineStr">
        <is>
          <t>福嶋 アルゴリズム 第2章: Ngôn ngữ giả &amp; Trace</t>
        </is>
      </c>
      <c r="L86" s="9" t="inlineStr"/>
      <c r="M86" s="9" t="inlineStr">
        <is>
          <t>未</t>
        </is>
      </c>
      <c r="N86" s="9" t="inlineStr">
        <is>
          <t>未着手</t>
        </is>
      </c>
      <c r="O86" s="8" t="inlineStr"/>
    </row>
    <row r="87">
      <c r="B87" s="9" t="inlineStr">
        <is>
          <t>Day 080</t>
        </is>
      </c>
      <c r="C87" s="9" t="inlineStr">
        <is>
          <t>2026/12/09</t>
        </is>
      </c>
      <c r="D87" s="9" t="inlineStr">
        <is>
          <t>水 (T4)</t>
        </is>
      </c>
      <c r="E87" s="9" t="n">
        <v>1</v>
      </c>
      <c r="F87" s="9" t="n">
        <v>0</v>
      </c>
      <c r="G87" s="9">
        <f>F87-E87</f>
        <v/>
      </c>
      <c r="H87" s="9">
        <f>IF(G87&lt;0, -G87, 0)</f>
        <v/>
      </c>
      <c r="I87" s="9" t="inlineStr">
        <is>
          <t>平日 (Ngày thường)</t>
        </is>
      </c>
      <c r="J87" s="9" t="inlineStr">
        <is>
          <t>科目A (かやのき)</t>
        </is>
      </c>
      <c r="K87" s="8" t="inlineStr">
        <is>
          <t>かやのき 第12章: Lý thuyết trọng tâm</t>
        </is>
      </c>
      <c r="L87" s="9" t="inlineStr"/>
      <c r="M87" s="9" t="inlineStr">
        <is>
          <t>未</t>
        </is>
      </c>
      <c r="N87" s="9" t="inlineStr">
        <is>
          <t>未着手</t>
        </is>
      </c>
      <c r="O87" s="8" t="inlineStr"/>
    </row>
    <row r="88">
      <c r="B88" s="9" t="inlineStr">
        <is>
          <t>Day 081</t>
        </is>
      </c>
      <c r="C88" s="9" t="inlineStr">
        <is>
          <t>2026/12/10</t>
        </is>
      </c>
      <c r="D88" s="9" t="inlineStr">
        <is>
          <t>木 (T5)</t>
        </is>
      </c>
      <c r="E88" s="9" t="n">
        <v>1</v>
      </c>
      <c r="F88" s="9" t="n">
        <v>0</v>
      </c>
      <c r="G88" s="9">
        <f>F88-E88</f>
        <v/>
      </c>
      <c r="H88" s="9">
        <f>IF(G88&lt;0, -G88, 0)</f>
        <v/>
      </c>
      <c r="I88" s="9" t="inlineStr">
        <is>
          <t>平日 (Ngày thường)</t>
        </is>
      </c>
      <c r="J88" s="9" t="inlineStr">
        <is>
          <t>科目B (福嶋)</t>
        </is>
      </c>
      <c r="K88" s="8" t="inlineStr">
        <is>
          <t>福嶋 アルゴリズム 第2章: Ngôn ngữ giả &amp; Trace</t>
        </is>
      </c>
      <c r="L88" s="9" t="inlineStr"/>
      <c r="M88" s="9" t="inlineStr">
        <is>
          <t>未</t>
        </is>
      </c>
      <c r="N88" s="9" t="inlineStr">
        <is>
          <t>未着手</t>
        </is>
      </c>
      <c r="O88" s="8" t="inlineStr"/>
    </row>
    <row r="89">
      <c r="B89" s="9" t="inlineStr">
        <is>
          <t>Day 082</t>
        </is>
      </c>
      <c r="C89" s="9" t="inlineStr">
        <is>
          <t>2026/12/11</t>
        </is>
      </c>
      <c r="D89" s="9" t="inlineStr">
        <is>
          <t>金 (T6)</t>
        </is>
      </c>
      <c r="E89" s="9" t="n">
        <v>1</v>
      </c>
      <c r="F89" s="9" t="n">
        <v>0</v>
      </c>
      <c r="G89" s="9">
        <f>F89-E89</f>
        <v/>
      </c>
      <c r="H89" s="9">
        <f>IF(G89&lt;0, -G89, 0)</f>
        <v/>
      </c>
      <c r="I89" s="9" t="inlineStr">
        <is>
          <t>平日 (Ngày thường)</t>
        </is>
      </c>
      <c r="J89" s="9" t="inlineStr">
        <is>
          <t>科目A (かやのき)</t>
        </is>
      </c>
      <c r="K89" s="8" t="inlineStr">
        <is>
          <t>かやのき 第12章: Lý thuyết trọng tâm</t>
        </is>
      </c>
      <c r="L89" s="9" t="inlineStr"/>
      <c r="M89" s="9" t="inlineStr">
        <is>
          <t>未</t>
        </is>
      </c>
      <c r="N89" s="9" t="inlineStr">
        <is>
          <t>未着手</t>
        </is>
      </c>
      <c r="O89" s="8" t="inlineStr"/>
    </row>
    <row r="90">
      <c r="B90" s="17" t="inlineStr">
        <is>
          <t>Day 083</t>
        </is>
      </c>
      <c r="C90" s="17" t="inlineStr">
        <is>
          <t>2026/12/12</t>
        </is>
      </c>
      <c r="D90" s="17" t="inlineStr">
        <is>
          <t>土 (T7)</t>
        </is>
      </c>
      <c r="E90" s="17" t="n">
        <v>2.5</v>
      </c>
      <c r="F90" s="17" t="n">
        <v>0</v>
      </c>
      <c r="G90" s="17">
        <f>F90-E90</f>
        <v/>
      </c>
      <c r="H90" s="17">
        <f>IF(G90&lt;0, -G90, 0)</f>
        <v/>
      </c>
      <c r="I90" s="17" t="inlineStr">
        <is>
          <t>週末 (Cuối tuần)</t>
        </is>
      </c>
      <c r="J90" s="17" t="inlineStr">
        <is>
          <t>科目B (福嶋)</t>
        </is>
      </c>
      <c r="K90" s="18" t="inlineStr">
        <is>
          <t>福嶋 アルゴリズム 第2章: Ngôn ngữ giả &amp; Trace</t>
        </is>
      </c>
      <c r="L90" s="17" t="inlineStr"/>
      <c r="M90" s="17" t="inlineStr">
        <is>
          <t>未</t>
        </is>
      </c>
      <c r="N90" s="17" t="inlineStr">
        <is>
          <t>未着手</t>
        </is>
      </c>
      <c r="O90" s="18" t="inlineStr"/>
    </row>
    <row r="91">
      <c r="B91" s="17" t="inlineStr">
        <is>
          <t>Day 084</t>
        </is>
      </c>
      <c r="C91" s="17" t="inlineStr">
        <is>
          <t>2026/12/13</t>
        </is>
      </c>
      <c r="D91" s="17" t="inlineStr">
        <is>
          <t>日 (CN)</t>
        </is>
      </c>
      <c r="E91" s="17" t="n">
        <v>2.5</v>
      </c>
      <c r="F91" s="17" t="n">
        <v>0</v>
      </c>
      <c r="G91" s="17">
        <f>F91-E91</f>
        <v/>
      </c>
      <c r="H91" s="17">
        <f>IF(G91&lt;0, -G91, 0)</f>
        <v/>
      </c>
      <c r="I91" s="17" t="inlineStr">
        <is>
          <t>週末 (Cuối tuần)</t>
        </is>
      </c>
      <c r="J91" s="17" t="inlineStr">
        <is>
          <t>過去問・復習</t>
        </is>
      </c>
      <c r="K91" s="18" t="inlineStr">
        <is>
          <t>Tổng ôn tập tuần &amp; Luyện đề quá khứ R08</t>
        </is>
      </c>
      <c r="L91" s="17" t="inlineStr"/>
      <c r="M91" s="17" t="inlineStr">
        <is>
          <t>未</t>
        </is>
      </c>
      <c r="N91" s="17" t="inlineStr">
        <is>
          <t>未着手</t>
        </is>
      </c>
      <c r="O91" s="18" t="inlineStr"/>
    </row>
    <row r="92">
      <c r="B92" s="9" t="inlineStr">
        <is>
          <t>Day 085</t>
        </is>
      </c>
      <c r="C92" s="9" t="inlineStr">
        <is>
          <t>2026/12/14</t>
        </is>
      </c>
      <c r="D92" s="9" t="inlineStr">
        <is>
          <t>月 (T2)</t>
        </is>
      </c>
      <c r="E92" s="9" t="n">
        <v>1</v>
      </c>
      <c r="F92" s="9" t="n">
        <v>0</v>
      </c>
      <c r="G92" s="9">
        <f>F92-E92</f>
        <v/>
      </c>
      <c r="H92" s="9">
        <f>IF(G92&lt;0, -G92, 0)</f>
        <v/>
      </c>
      <c r="I92" s="9" t="inlineStr">
        <is>
          <t>平日 (Ngày thường)</t>
        </is>
      </c>
      <c r="J92" s="9" t="inlineStr">
        <is>
          <t>科目A (かやのき)</t>
        </is>
      </c>
      <c r="K92" s="8" t="inlineStr">
        <is>
          <t>かやのき 第1章: Lý thuyết trọng tâm</t>
        </is>
      </c>
      <c r="L92" s="9" t="inlineStr"/>
      <c r="M92" s="9" t="inlineStr">
        <is>
          <t>未</t>
        </is>
      </c>
      <c r="N92" s="9" t="inlineStr">
        <is>
          <t>未着手</t>
        </is>
      </c>
      <c r="O92" s="8" t="inlineStr"/>
    </row>
    <row r="93">
      <c r="B93" s="9" t="inlineStr">
        <is>
          <t>Day 086</t>
        </is>
      </c>
      <c r="C93" s="9" t="inlineStr">
        <is>
          <t>2026/12/15</t>
        </is>
      </c>
      <c r="D93" s="9" t="inlineStr">
        <is>
          <t>火 (T3)</t>
        </is>
      </c>
      <c r="E93" s="9" t="n">
        <v>1</v>
      </c>
      <c r="F93" s="9" t="n">
        <v>0</v>
      </c>
      <c r="G93" s="9">
        <f>F93-E93</f>
        <v/>
      </c>
      <c r="H93" s="9">
        <f>IF(G93&lt;0, -G93, 0)</f>
        <v/>
      </c>
      <c r="I93" s="9" t="inlineStr">
        <is>
          <t>平日 (Ngày thường)</t>
        </is>
      </c>
      <c r="J93" s="9" t="inlineStr">
        <is>
          <t>科目B (福嶋)</t>
        </is>
      </c>
      <c r="K93" s="8" t="inlineStr">
        <is>
          <t>福嶋 アルゴリズム 第3章: Ngôn ngữ giả &amp; Trace</t>
        </is>
      </c>
      <c r="L93" s="9" t="inlineStr"/>
      <c r="M93" s="9" t="inlineStr">
        <is>
          <t>未</t>
        </is>
      </c>
      <c r="N93" s="9" t="inlineStr">
        <is>
          <t>未着手</t>
        </is>
      </c>
      <c r="O93" s="8" t="inlineStr"/>
    </row>
    <row r="94">
      <c r="B94" s="9" t="inlineStr">
        <is>
          <t>Day 087</t>
        </is>
      </c>
      <c r="C94" s="9" t="inlineStr">
        <is>
          <t>2026/12/16</t>
        </is>
      </c>
      <c r="D94" s="9" t="inlineStr">
        <is>
          <t>水 (T4)</t>
        </is>
      </c>
      <c r="E94" s="9" t="n">
        <v>1</v>
      </c>
      <c r="F94" s="9" t="n">
        <v>0</v>
      </c>
      <c r="G94" s="9">
        <f>F94-E94</f>
        <v/>
      </c>
      <c r="H94" s="9">
        <f>IF(G94&lt;0, -G94, 0)</f>
        <v/>
      </c>
      <c r="I94" s="9" t="inlineStr">
        <is>
          <t>平日 (Ngày thường)</t>
        </is>
      </c>
      <c r="J94" s="9" t="inlineStr">
        <is>
          <t>科目A (かやのき)</t>
        </is>
      </c>
      <c r="K94" s="8" t="inlineStr">
        <is>
          <t>かやのき 第1章: Lý thuyết trọng tâm</t>
        </is>
      </c>
      <c r="L94" s="9" t="inlineStr"/>
      <c r="M94" s="9" t="inlineStr">
        <is>
          <t>未</t>
        </is>
      </c>
      <c r="N94" s="9" t="inlineStr">
        <is>
          <t>未着手</t>
        </is>
      </c>
      <c r="O94" s="8" t="inlineStr"/>
    </row>
    <row r="95">
      <c r="B95" s="9" t="inlineStr">
        <is>
          <t>Day 088</t>
        </is>
      </c>
      <c r="C95" s="9" t="inlineStr">
        <is>
          <t>2026/12/17</t>
        </is>
      </c>
      <c r="D95" s="9" t="inlineStr">
        <is>
          <t>木 (T5)</t>
        </is>
      </c>
      <c r="E95" s="9" t="n">
        <v>1</v>
      </c>
      <c r="F95" s="9" t="n">
        <v>0</v>
      </c>
      <c r="G95" s="9">
        <f>F95-E95</f>
        <v/>
      </c>
      <c r="H95" s="9">
        <f>IF(G95&lt;0, -G95, 0)</f>
        <v/>
      </c>
      <c r="I95" s="9" t="inlineStr">
        <is>
          <t>平日 (Ngày thường)</t>
        </is>
      </c>
      <c r="J95" s="9" t="inlineStr">
        <is>
          <t>科目B (福嶋)</t>
        </is>
      </c>
      <c r="K95" s="8" t="inlineStr">
        <is>
          <t>福嶋 アルゴリズム 第3章: Ngôn ngữ giả &amp; Trace</t>
        </is>
      </c>
      <c r="L95" s="9" t="inlineStr"/>
      <c r="M95" s="9" t="inlineStr">
        <is>
          <t>未</t>
        </is>
      </c>
      <c r="N95" s="9" t="inlineStr">
        <is>
          <t>未着手</t>
        </is>
      </c>
      <c r="O95" s="8" t="inlineStr"/>
    </row>
    <row r="96">
      <c r="B96" s="9" t="inlineStr">
        <is>
          <t>Day 089</t>
        </is>
      </c>
      <c r="C96" s="9" t="inlineStr">
        <is>
          <t>2026/12/18</t>
        </is>
      </c>
      <c r="D96" s="9" t="inlineStr">
        <is>
          <t>金 (T6)</t>
        </is>
      </c>
      <c r="E96" s="9" t="n">
        <v>1</v>
      </c>
      <c r="F96" s="9" t="n">
        <v>0</v>
      </c>
      <c r="G96" s="9">
        <f>F96-E96</f>
        <v/>
      </c>
      <c r="H96" s="9">
        <f>IF(G96&lt;0, -G96, 0)</f>
        <v/>
      </c>
      <c r="I96" s="9" t="inlineStr">
        <is>
          <t>平日 (Ngày thường)</t>
        </is>
      </c>
      <c r="J96" s="9" t="inlineStr">
        <is>
          <t>科目A (かやのき)</t>
        </is>
      </c>
      <c r="K96" s="8" t="inlineStr">
        <is>
          <t>かやのき 第1章: Lý thuyết trọng tâm</t>
        </is>
      </c>
      <c r="L96" s="9" t="inlineStr"/>
      <c r="M96" s="9" t="inlineStr">
        <is>
          <t>未</t>
        </is>
      </c>
      <c r="N96" s="9" t="inlineStr">
        <is>
          <t>未着手</t>
        </is>
      </c>
      <c r="O96" s="8" t="inlineStr"/>
    </row>
    <row r="97">
      <c r="B97" s="17" t="inlineStr">
        <is>
          <t>Day 090</t>
        </is>
      </c>
      <c r="C97" s="17" t="inlineStr">
        <is>
          <t>2026/12/19</t>
        </is>
      </c>
      <c r="D97" s="17" t="inlineStr">
        <is>
          <t>土 (T7)</t>
        </is>
      </c>
      <c r="E97" s="17" t="n">
        <v>2.5</v>
      </c>
      <c r="F97" s="17" t="n">
        <v>0</v>
      </c>
      <c r="G97" s="17">
        <f>F97-E97</f>
        <v/>
      </c>
      <c r="H97" s="17">
        <f>IF(G97&lt;0, -G97, 0)</f>
        <v/>
      </c>
      <c r="I97" s="17" t="inlineStr">
        <is>
          <t>週末 (Cuối tuần)</t>
        </is>
      </c>
      <c r="J97" s="17" t="inlineStr">
        <is>
          <t>科目B (福嶋)</t>
        </is>
      </c>
      <c r="K97" s="18" t="inlineStr">
        <is>
          <t>福嶋 アルゴリズム 第3章: Ngôn ngữ giả &amp; Trace</t>
        </is>
      </c>
      <c r="L97" s="17" t="inlineStr"/>
      <c r="M97" s="17" t="inlineStr">
        <is>
          <t>未</t>
        </is>
      </c>
      <c r="N97" s="17" t="inlineStr">
        <is>
          <t>未着手</t>
        </is>
      </c>
      <c r="O97" s="18" t="inlineStr"/>
    </row>
    <row r="98">
      <c r="B98" s="17" t="inlineStr">
        <is>
          <t>Day 091</t>
        </is>
      </c>
      <c r="C98" s="17" t="inlineStr">
        <is>
          <t>2026/12/20</t>
        </is>
      </c>
      <c r="D98" s="17" t="inlineStr">
        <is>
          <t>日 (CN)</t>
        </is>
      </c>
      <c r="E98" s="17" t="n">
        <v>2.5</v>
      </c>
      <c r="F98" s="17" t="n">
        <v>0</v>
      </c>
      <c r="G98" s="17">
        <f>F98-E98</f>
        <v/>
      </c>
      <c r="H98" s="17">
        <f>IF(G98&lt;0, -G98, 0)</f>
        <v/>
      </c>
      <c r="I98" s="17" t="inlineStr">
        <is>
          <t>週末 (Cuối tuần)</t>
        </is>
      </c>
      <c r="J98" s="17" t="inlineStr">
        <is>
          <t>過去問・復習</t>
        </is>
      </c>
      <c r="K98" s="18" t="inlineStr">
        <is>
          <t>Tổng ôn tập tuần &amp; Luyện đề quá khứ R08</t>
        </is>
      </c>
      <c r="L98" s="17" t="inlineStr"/>
      <c r="M98" s="17" t="inlineStr">
        <is>
          <t>未</t>
        </is>
      </c>
      <c r="N98" s="17" t="inlineStr">
        <is>
          <t>未着手</t>
        </is>
      </c>
      <c r="O98" s="18" t="inlineStr"/>
    </row>
    <row r="99">
      <c r="B99" s="9" t="inlineStr">
        <is>
          <t>Day 092</t>
        </is>
      </c>
      <c r="C99" s="9" t="inlineStr">
        <is>
          <t>2026/12/21</t>
        </is>
      </c>
      <c r="D99" s="9" t="inlineStr">
        <is>
          <t>月 (T2)</t>
        </is>
      </c>
      <c r="E99" s="9" t="n">
        <v>1</v>
      </c>
      <c r="F99" s="9" t="n">
        <v>0</v>
      </c>
      <c r="G99" s="9">
        <f>F99-E99</f>
        <v/>
      </c>
      <c r="H99" s="9">
        <f>IF(G99&lt;0, -G99, 0)</f>
        <v/>
      </c>
      <c r="I99" s="9" t="inlineStr">
        <is>
          <t>平日 (Ngày thường)</t>
        </is>
      </c>
      <c r="J99" s="9" t="inlineStr">
        <is>
          <t>科目A (かやのき)</t>
        </is>
      </c>
      <c r="K99" s="8" t="inlineStr">
        <is>
          <t>かやのき 第2章: Lý thuyết trọng tâm</t>
        </is>
      </c>
      <c r="L99" s="9" t="inlineStr"/>
      <c r="M99" s="9" t="inlineStr">
        <is>
          <t>未</t>
        </is>
      </c>
      <c r="N99" s="9" t="inlineStr">
        <is>
          <t>未着手</t>
        </is>
      </c>
      <c r="O99" s="8" t="inlineStr"/>
    </row>
    <row r="100">
      <c r="B100" s="9" t="inlineStr">
        <is>
          <t>Day 093</t>
        </is>
      </c>
      <c r="C100" s="9" t="inlineStr">
        <is>
          <t>2026/12/22</t>
        </is>
      </c>
      <c r="D100" s="9" t="inlineStr">
        <is>
          <t>火 (T3)</t>
        </is>
      </c>
      <c r="E100" s="9" t="n">
        <v>1</v>
      </c>
      <c r="F100" s="9" t="n">
        <v>0</v>
      </c>
      <c r="G100" s="9">
        <f>F100-E100</f>
        <v/>
      </c>
      <c r="H100" s="9">
        <f>IF(G100&lt;0, -G100, 0)</f>
        <v/>
      </c>
      <c r="I100" s="9" t="inlineStr">
        <is>
          <t>平日 (Ngày thường)</t>
        </is>
      </c>
      <c r="J100" s="9" t="inlineStr">
        <is>
          <t>科目B (福嶋)</t>
        </is>
      </c>
      <c r="K100" s="8" t="inlineStr">
        <is>
          <t>福嶋 アルゴリズム 第4章: Ngôn ngữ giả &amp; Trace</t>
        </is>
      </c>
      <c r="L100" s="9" t="inlineStr"/>
      <c r="M100" s="9" t="inlineStr">
        <is>
          <t>未</t>
        </is>
      </c>
      <c r="N100" s="9" t="inlineStr">
        <is>
          <t>未着手</t>
        </is>
      </c>
      <c r="O100" s="8" t="inlineStr"/>
    </row>
    <row r="101">
      <c r="B101" s="9" t="inlineStr">
        <is>
          <t>Day 094</t>
        </is>
      </c>
      <c r="C101" s="9" t="inlineStr">
        <is>
          <t>2026/12/23</t>
        </is>
      </c>
      <c r="D101" s="9" t="inlineStr">
        <is>
          <t>水 (T4)</t>
        </is>
      </c>
      <c r="E101" s="9" t="n">
        <v>1</v>
      </c>
      <c r="F101" s="9" t="n">
        <v>0</v>
      </c>
      <c r="G101" s="9">
        <f>F101-E101</f>
        <v/>
      </c>
      <c r="H101" s="9">
        <f>IF(G101&lt;0, -G101, 0)</f>
        <v/>
      </c>
      <c r="I101" s="9" t="inlineStr">
        <is>
          <t>平日 (Ngày thường)</t>
        </is>
      </c>
      <c r="J101" s="9" t="inlineStr">
        <is>
          <t>科目A (かやのき)</t>
        </is>
      </c>
      <c r="K101" s="8" t="inlineStr">
        <is>
          <t>かやのき 第2章: Lý thuyết trọng tâm</t>
        </is>
      </c>
      <c r="L101" s="9" t="inlineStr"/>
      <c r="M101" s="9" t="inlineStr">
        <is>
          <t>未</t>
        </is>
      </c>
      <c r="N101" s="9" t="inlineStr">
        <is>
          <t>未着手</t>
        </is>
      </c>
      <c r="O101" s="8" t="inlineStr"/>
    </row>
    <row r="102">
      <c r="B102" s="9" t="inlineStr">
        <is>
          <t>Day 095</t>
        </is>
      </c>
      <c r="C102" s="9" t="inlineStr">
        <is>
          <t>2026/12/24</t>
        </is>
      </c>
      <c r="D102" s="9" t="inlineStr">
        <is>
          <t>木 (T5)</t>
        </is>
      </c>
      <c r="E102" s="9" t="n">
        <v>1</v>
      </c>
      <c r="F102" s="9" t="n">
        <v>0</v>
      </c>
      <c r="G102" s="9">
        <f>F102-E102</f>
        <v/>
      </c>
      <c r="H102" s="9">
        <f>IF(G102&lt;0, -G102, 0)</f>
        <v/>
      </c>
      <c r="I102" s="9" t="inlineStr">
        <is>
          <t>平日 (Ngày thường)</t>
        </is>
      </c>
      <c r="J102" s="9" t="inlineStr">
        <is>
          <t>科目B (福嶋)</t>
        </is>
      </c>
      <c r="K102" s="8" t="inlineStr">
        <is>
          <t>福嶋 アルゴリズム 第4章: Ngôn ngữ giả &amp; Trace</t>
        </is>
      </c>
      <c r="L102" s="9" t="inlineStr"/>
      <c r="M102" s="9" t="inlineStr">
        <is>
          <t>未</t>
        </is>
      </c>
      <c r="N102" s="9" t="inlineStr">
        <is>
          <t>未着手</t>
        </is>
      </c>
      <c r="O102" s="8" t="inlineStr"/>
    </row>
    <row r="103">
      <c r="B103" s="9" t="inlineStr">
        <is>
          <t>Day 096</t>
        </is>
      </c>
      <c r="C103" s="9" t="inlineStr">
        <is>
          <t>2026/12/25</t>
        </is>
      </c>
      <c r="D103" s="9" t="inlineStr">
        <is>
          <t>金 (T6)</t>
        </is>
      </c>
      <c r="E103" s="9" t="n">
        <v>1</v>
      </c>
      <c r="F103" s="9" t="n">
        <v>0</v>
      </c>
      <c r="G103" s="9">
        <f>F103-E103</f>
        <v/>
      </c>
      <c r="H103" s="9">
        <f>IF(G103&lt;0, -G103, 0)</f>
        <v/>
      </c>
      <c r="I103" s="9" t="inlineStr">
        <is>
          <t>平日 (Ngày thường)</t>
        </is>
      </c>
      <c r="J103" s="9" t="inlineStr">
        <is>
          <t>科目A (かやのき)</t>
        </is>
      </c>
      <c r="K103" s="8" t="inlineStr">
        <is>
          <t>かやのき 第2章: Lý thuyết trọng tâm</t>
        </is>
      </c>
      <c r="L103" s="9" t="inlineStr"/>
      <c r="M103" s="9" t="inlineStr">
        <is>
          <t>未</t>
        </is>
      </c>
      <c r="N103" s="9" t="inlineStr">
        <is>
          <t>未着手</t>
        </is>
      </c>
      <c r="O103" s="8" t="inlineStr"/>
    </row>
    <row r="104">
      <c r="B104" s="17" t="inlineStr">
        <is>
          <t>Day 097</t>
        </is>
      </c>
      <c r="C104" s="17" t="inlineStr">
        <is>
          <t>2026/12/26</t>
        </is>
      </c>
      <c r="D104" s="17" t="inlineStr">
        <is>
          <t>土 (T7)</t>
        </is>
      </c>
      <c r="E104" s="17" t="n">
        <v>2.5</v>
      </c>
      <c r="F104" s="17" t="n">
        <v>0</v>
      </c>
      <c r="G104" s="17">
        <f>F104-E104</f>
        <v/>
      </c>
      <c r="H104" s="17">
        <f>IF(G104&lt;0, -G104, 0)</f>
        <v/>
      </c>
      <c r="I104" s="17" t="inlineStr">
        <is>
          <t>週末 (Cuối tuần)</t>
        </is>
      </c>
      <c r="J104" s="17" t="inlineStr">
        <is>
          <t>科目B (福嶋)</t>
        </is>
      </c>
      <c r="K104" s="18" t="inlineStr">
        <is>
          <t>福嶋 アルゴリズム 第4章: Ngôn ngữ giả &amp; Trace</t>
        </is>
      </c>
      <c r="L104" s="17" t="inlineStr"/>
      <c r="M104" s="17" t="inlineStr">
        <is>
          <t>未</t>
        </is>
      </c>
      <c r="N104" s="17" t="inlineStr">
        <is>
          <t>未着手</t>
        </is>
      </c>
      <c r="O104" s="18" t="inlineStr"/>
    </row>
    <row r="105">
      <c r="B105" s="17" t="inlineStr">
        <is>
          <t>Day 098</t>
        </is>
      </c>
      <c r="C105" s="17" t="inlineStr">
        <is>
          <t>2026/12/27</t>
        </is>
      </c>
      <c r="D105" s="17" t="inlineStr">
        <is>
          <t>日 (CN)</t>
        </is>
      </c>
      <c r="E105" s="17" t="n">
        <v>2.5</v>
      </c>
      <c r="F105" s="17" t="n">
        <v>0</v>
      </c>
      <c r="G105" s="17">
        <f>F105-E105</f>
        <v/>
      </c>
      <c r="H105" s="17">
        <f>IF(G105&lt;0, -G105, 0)</f>
        <v/>
      </c>
      <c r="I105" s="17" t="inlineStr">
        <is>
          <t>週末 (Cuối tuần)</t>
        </is>
      </c>
      <c r="J105" s="17" t="inlineStr">
        <is>
          <t>過去問・復習</t>
        </is>
      </c>
      <c r="K105" s="18" t="inlineStr">
        <is>
          <t>Tổng ôn tập tuần &amp; Luyện đề quá khứ R08</t>
        </is>
      </c>
      <c r="L105" s="17" t="inlineStr"/>
      <c r="M105" s="17" t="inlineStr">
        <is>
          <t>未</t>
        </is>
      </c>
      <c r="N105" s="17" t="inlineStr">
        <is>
          <t>未着手</t>
        </is>
      </c>
      <c r="O105" s="18" t="inlineStr"/>
    </row>
    <row r="106">
      <c r="B106" s="9" t="inlineStr">
        <is>
          <t>Day 099</t>
        </is>
      </c>
      <c r="C106" s="9" t="inlineStr">
        <is>
          <t>2026/12/28</t>
        </is>
      </c>
      <c r="D106" s="9" t="inlineStr">
        <is>
          <t>月 (T2)</t>
        </is>
      </c>
      <c r="E106" s="9" t="n">
        <v>3.5</v>
      </c>
      <c r="F106" s="9" t="n">
        <v>0</v>
      </c>
      <c r="G106" s="9">
        <f>F106-E106</f>
        <v/>
      </c>
      <c r="H106" s="9">
        <f>IF(G106&lt;0, -G106, 0)</f>
        <v/>
      </c>
      <c r="I106" s="9" t="inlineStr">
        <is>
          <t>🎌 年末年始休暇</t>
        </is>
      </c>
      <c r="J106" s="9" t="inlineStr">
        <is>
          <t>科目A (かやのき)</t>
        </is>
      </c>
      <c r="K106" s="8" t="inlineStr">
        <is>
          <t>かやのき 第3章: Lý thuyết trọng tâm</t>
        </is>
      </c>
      <c r="L106" s="9" t="inlineStr"/>
      <c r="M106" s="9" t="inlineStr">
        <is>
          <t>未</t>
        </is>
      </c>
      <c r="N106" s="9" t="inlineStr">
        <is>
          <t>未着手</t>
        </is>
      </c>
      <c r="O106" s="8" t="inlineStr"/>
    </row>
    <row r="107">
      <c r="B107" s="9" t="inlineStr">
        <is>
          <t>Day 100</t>
        </is>
      </c>
      <c r="C107" s="9" t="inlineStr">
        <is>
          <t>2026/12/29</t>
        </is>
      </c>
      <c r="D107" s="9" t="inlineStr">
        <is>
          <t>火 (T3)</t>
        </is>
      </c>
      <c r="E107" s="9" t="n">
        <v>3.5</v>
      </c>
      <c r="F107" s="9" t="n">
        <v>0</v>
      </c>
      <c r="G107" s="9">
        <f>F107-E107</f>
        <v/>
      </c>
      <c r="H107" s="9">
        <f>IF(G107&lt;0, -G107, 0)</f>
        <v/>
      </c>
      <c r="I107" s="9" t="inlineStr">
        <is>
          <t>🎌 年末年始休暇</t>
        </is>
      </c>
      <c r="J107" s="9" t="inlineStr">
        <is>
          <t>科目B (福嶋)</t>
        </is>
      </c>
      <c r="K107" s="8" t="inlineStr">
        <is>
          <t>福嶋 アルゴリズム 第5章: Ngôn ngữ giả &amp; Trace</t>
        </is>
      </c>
      <c r="L107" s="9" t="inlineStr"/>
      <c r="M107" s="9" t="inlineStr">
        <is>
          <t>未</t>
        </is>
      </c>
      <c r="N107" s="9" t="inlineStr">
        <is>
          <t>未着手</t>
        </is>
      </c>
      <c r="O107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50" customWidth="1" min="3" max="3"/>
    <col width="49" customWidth="1" min="4" max="4"/>
    <col width="26" customWidth="1" min="5" max="5"/>
    <col width="28" customWidth="1" min="6" max="6"/>
    <col width="17" customWidth="1" min="7" max="7"/>
    <col width="22" customWidth="1" min="8" max="8"/>
    <col width="50" customWidth="1" min="9" max="9"/>
  </cols>
  <sheetData>
    <row r="1"/>
    <row r="2">
      <c r="B2" s="1" t="inlineStr">
        <is>
          <t>3冊の教材・分野別進捗管理 (3 Books Detailed Syllabus &amp; Scan Tracker)</t>
        </is>
      </c>
    </row>
    <row r="3">
      <c r="B3" s="2" t="inlineStr">
        <is>
          <t>Theo dõi mục lục chi tiết, trạng thái scan PDF và số sao hiểu bài của 3 cuốn sách</t>
        </is>
      </c>
    </row>
    <row r="4"/>
    <row r="5">
      <c r="B5" s="7" t="inlineStr">
        <is>
          <t>章番号 / ID</t>
        </is>
      </c>
      <c r="C5" s="7" t="inlineStr">
        <is>
          <t>章の名称 (Tên chương / Mục kiến thức)</t>
        </is>
      </c>
      <c r="D5" s="7" t="inlineStr">
        <is>
          <t>分野 / シラバス区分 (Phân loại Syllabus 9.1)</t>
        </is>
      </c>
      <c r="E5" s="7" t="inlineStr">
        <is>
          <t>スキャン状況 (Scan PDF)</t>
        </is>
      </c>
      <c r="F5" s="7" t="inlineStr">
        <is>
          <t>完了状態 (Hoàn thành)</t>
        </is>
      </c>
      <c r="G5" s="7" t="inlineStr">
        <is>
          <t>理解度 (1-5★)</t>
        </is>
      </c>
      <c r="H5" s="7" t="inlineStr">
        <is>
          <t>完了日 (Ngày xong)</t>
        </is>
      </c>
      <c r="I5" s="7" t="inlineStr">
        <is>
          <t>重要ポイント / メモ (Ghi chú cốt lõi)</t>
        </is>
      </c>
    </row>
    <row r="6">
      <c r="B6" s="19" t="inlineStr">
        <is>
          <t>【書棚1】令和08年 かやのき先生の基本情報技術者教室 (Syllabus 9.1)</t>
        </is>
      </c>
    </row>
    <row r="7">
      <c r="B7" s="9" t="inlineStr">
        <is>
          <t>Ch 01</t>
        </is>
      </c>
      <c r="C7" s="8" t="inlineStr">
        <is>
          <t>基礎理論 (離散数学・応用数学・情報理論)</t>
        </is>
      </c>
      <c r="D7" s="8" t="inlineStr">
        <is>
          <t>テクノロジ系 - 基礎理論</t>
        </is>
      </c>
      <c r="E7" s="9" t="inlineStr">
        <is>
          <t>未スキャン</t>
        </is>
      </c>
      <c r="F7" s="9" t="inlineStr">
        <is>
          <t>未着手</t>
        </is>
      </c>
      <c r="G7" s="9" t="inlineStr"/>
      <c r="H7" s="9" t="inlineStr"/>
      <c r="I7" s="8" t="inlineStr">
        <is>
          <t>Toán nhị phân, số bù 2, logic, tập hợp</t>
        </is>
      </c>
    </row>
    <row r="8">
      <c r="B8" s="9" t="inlineStr">
        <is>
          <t>Ch 02</t>
        </is>
      </c>
      <c r="C8" s="8" t="inlineStr">
        <is>
          <t>アルゴリズムとデータ構造の基礎</t>
        </is>
      </c>
      <c r="D8" s="8" t="inlineStr">
        <is>
          <t>テクノロジ系 - 基礎理論</t>
        </is>
      </c>
      <c r="E8" s="9" t="inlineStr">
        <is>
          <t>未スキャン</t>
        </is>
      </c>
      <c r="F8" s="9" t="inlineStr">
        <is>
          <t>未着手</t>
        </is>
      </c>
      <c r="G8" s="9" t="inlineStr"/>
      <c r="H8" s="9" t="inlineStr"/>
      <c r="I8" s="8" t="inlineStr">
        <is>
          <t>Mảng, danh sách, cây, sắp xếp, tìm kiếm cơ bản</t>
        </is>
      </c>
    </row>
    <row r="9">
      <c r="B9" s="9" t="inlineStr">
        <is>
          <t>Ch 03</t>
        </is>
      </c>
      <c r="C9" s="8" t="inlineStr">
        <is>
          <t>ハードウェアとコンピュータ構成要素</t>
        </is>
      </c>
      <c r="D9" s="8" t="inlineStr">
        <is>
          <t>テクノロジ系 - コンピュータ</t>
        </is>
      </c>
      <c r="E9" s="9" t="inlineStr">
        <is>
          <t>未スキャン</t>
        </is>
      </c>
      <c r="F9" s="9" t="inlineStr">
        <is>
          <t>未着手</t>
        </is>
      </c>
      <c r="G9" s="9" t="inlineStr"/>
      <c r="H9" s="9" t="inlineStr"/>
      <c r="I9" s="8" t="inlineStr">
        <is>
          <t>CPU, RAM, ROM, Bus, thiết bị ngoại vi</t>
        </is>
      </c>
    </row>
    <row r="10">
      <c r="B10" s="9" t="inlineStr">
        <is>
          <t>Ch 04</t>
        </is>
      </c>
      <c r="C10" s="8" t="inlineStr">
        <is>
          <t>システム構成要素と稼働率 (MTBF/MTTR)</t>
        </is>
      </c>
      <c r="D10" s="8" t="inlineStr">
        <is>
          <t>テクノロジ系 - システム構成</t>
        </is>
      </c>
      <c r="E10" s="9" t="inlineStr">
        <is>
          <t>未スキャン</t>
        </is>
      </c>
      <c r="F10" s="9" t="inlineStr">
        <is>
          <t>未着手</t>
        </is>
      </c>
      <c r="G10" s="9" t="inlineStr"/>
      <c r="H10" s="9" t="inlineStr"/>
      <c r="I10" s="8" t="inlineStr">
        <is>
          <t>Độ khả dụng hệ thống, Dual/Duplex, RAID</t>
        </is>
      </c>
    </row>
    <row r="11">
      <c r="B11" s="9" t="inlineStr">
        <is>
          <t>Ch 05</t>
        </is>
      </c>
      <c r="C11" s="8" t="inlineStr">
        <is>
          <t>ソフトウェアとオペレーティングシステム (OS)</t>
        </is>
      </c>
      <c r="D11" s="8" t="inlineStr">
        <is>
          <t>テクノロジ系 - OS・ソフト</t>
        </is>
      </c>
      <c r="E11" s="9" t="inlineStr">
        <is>
          <t>未スキャン</t>
        </is>
      </c>
      <c r="F11" s="9" t="inlineStr">
        <is>
          <t>未着手</t>
        </is>
      </c>
      <c r="G11" s="9" t="inlineStr"/>
      <c r="H11" s="9" t="inlineStr"/>
      <c r="I11" s="8" t="inlineStr">
        <is>
          <t>Tiến trình, quản lý bộ nhớ ảo, phân trang, ngắt</t>
        </is>
      </c>
    </row>
    <row r="12">
      <c r="B12" s="9" t="inlineStr">
        <is>
          <t>Ch 06</t>
        </is>
      </c>
      <c r="C12" s="8" t="inlineStr">
        <is>
          <t>データベースとSQL (正規化・トランザクション)</t>
        </is>
      </c>
      <c r="D12" s="8" t="inlineStr">
        <is>
          <t>テクノロジ系 - データベース</t>
        </is>
      </c>
      <c r="E12" s="9" t="inlineStr">
        <is>
          <t>未スキャン</t>
        </is>
      </c>
      <c r="F12" s="9" t="inlineStr">
        <is>
          <t>未着手</t>
        </is>
      </c>
      <c r="G12" s="9" t="inlineStr"/>
      <c r="H12" s="9" t="inlineStr"/>
      <c r="I12" s="8" t="inlineStr">
        <is>
          <t>RDBMS, khóa chính/ngoại, 1NF-3NF, ACID, Commit/Rollback</t>
        </is>
      </c>
    </row>
    <row r="13">
      <c r="B13" s="9" t="inlineStr">
        <is>
          <t>Ch 07</t>
        </is>
      </c>
      <c r="C13" s="8" t="inlineStr">
        <is>
          <t>ネットワーク技術 (TCP/IP・ルーティング・DNS)</t>
        </is>
      </c>
      <c r="D13" s="8" t="inlineStr">
        <is>
          <t>テクノロジ系 - ネットワーク</t>
        </is>
      </c>
      <c r="E13" s="9" t="inlineStr">
        <is>
          <t>未スキャン</t>
        </is>
      </c>
      <c r="F13" s="9" t="inlineStr">
        <is>
          <t>未着手</t>
        </is>
      </c>
      <c r="G13" s="9" t="inlineStr"/>
      <c r="H13" s="9" t="inlineStr"/>
      <c r="I13" s="8" t="inlineStr">
        <is>
          <t>Mô hình OSI, TCP/UDP, IP, Subnet mask, Port</t>
        </is>
      </c>
    </row>
    <row r="14">
      <c r="B14" s="9" t="inlineStr">
        <is>
          <t>Ch 08</t>
        </is>
      </c>
      <c r="C14" s="8" t="inlineStr">
        <is>
          <t>情報セキュリティ (暗号・署名・攻撃手法・FW)</t>
        </is>
      </c>
      <c r="D14" s="8" t="inlineStr">
        <is>
          <t>テクノロジ系 - セキュリティ</t>
        </is>
      </c>
      <c r="E14" s="9" t="inlineStr">
        <is>
          <t>未スキャン</t>
        </is>
      </c>
      <c r="F14" s="9" t="inlineStr">
        <is>
          <t>未着手</t>
        </is>
      </c>
      <c r="G14" s="9" t="inlineStr"/>
      <c r="H14" s="9" t="inlineStr"/>
      <c r="I14" s="8" t="inlineStr">
        <is>
          <t>Trọng tâm môn A&amp;B: Mã hóa khóa công khai, SHA, WAF, XSS, SQLi</t>
        </is>
      </c>
    </row>
    <row r="15">
      <c r="B15" s="9" t="inlineStr">
        <is>
          <t>Ch 09</t>
        </is>
      </c>
      <c r="C15" s="8" t="inlineStr">
        <is>
          <t>システム開発技術 (設計・テスト・アジャイル)</t>
        </is>
      </c>
      <c r="D15" s="8" t="inlineStr">
        <is>
          <t>テクノロジ系 - 開発技術</t>
        </is>
      </c>
      <c r="E15" s="9" t="inlineStr">
        <is>
          <t>未スキャン</t>
        </is>
      </c>
      <c r="F15" s="9" t="inlineStr">
        <is>
          <t>未着手</t>
        </is>
      </c>
      <c r="G15" s="9" t="inlineStr"/>
      <c r="H15" s="9" t="inlineStr"/>
      <c r="I15" s="8" t="inlineStr">
        <is>
          <t>Quy trình Waterfall, Agile, White-box / Black-box test</t>
        </is>
      </c>
    </row>
    <row r="16">
      <c r="B16" s="9" t="inlineStr">
        <is>
          <t>Ch 10</t>
        </is>
      </c>
      <c r="C16" s="8" t="inlineStr">
        <is>
          <t>プロジェクトマネジメント (WBS・EVM・日程計算)</t>
        </is>
      </c>
      <c r="D16" s="8" t="inlineStr">
        <is>
          <t>マネジメント系 - プロジェクト</t>
        </is>
      </c>
      <c r="E16" s="9" t="inlineStr">
        <is>
          <t>未スキャン</t>
        </is>
      </c>
      <c r="F16" s="9" t="inlineStr">
        <is>
          <t>未着手</t>
        </is>
      </c>
      <c r="G16" s="9" t="inlineStr"/>
      <c r="H16" s="9" t="inlineStr"/>
      <c r="I16" s="8" t="inlineStr">
        <is>
          <t>Mỏ điểm dễ ăn: Arrow diagram, Critical Path, Float</t>
        </is>
      </c>
    </row>
    <row r="17">
      <c r="B17" s="9" t="inlineStr">
        <is>
          <t>Ch 11</t>
        </is>
      </c>
      <c r="C17" s="8" t="inlineStr">
        <is>
          <t>サービスマネジメントとシステム監査 (ITIL・SLA)</t>
        </is>
      </c>
      <c r="D17" s="8" t="inlineStr">
        <is>
          <t>マネジメント系 - サービス</t>
        </is>
      </c>
      <c r="E17" s="9" t="inlineStr">
        <is>
          <t>未スキャン</t>
        </is>
      </c>
      <c r="F17" s="9" t="inlineStr">
        <is>
          <t>未着手</t>
        </is>
      </c>
      <c r="G17" s="9" t="inlineStr"/>
      <c r="H17" s="9" t="inlineStr"/>
      <c r="I17" s="8" t="inlineStr">
        <is>
          <t>SLA, Quản lý sự cố, Quản lý thay đổi, Kiểm toán hệ thống</t>
        </is>
      </c>
    </row>
    <row r="18">
      <c r="B18" s="9" t="inlineStr">
        <is>
          <t>Ch 12</t>
        </is>
      </c>
      <c r="C18" s="8" t="inlineStr">
        <is>
          <t>経営戦略・システム戦略・企業と法務</t>
        </is>
      </c>
      <c r="D18" s="8" t="inlineStr">
        <is>
          <t>ストラテジ系 - 経営・法務</t>
        </is>
      </c>
      <c r="E18" s="9" t="inlineStr">
        <is>
          <t>未</t>
        </is>
      </c>
      <c r="F18" s="9">
        <f>COUNTIF(F7:F18, "完了")</f>
        <v/>
      </c>
      <c r="G18" s="9" t="inlineStr"/>
      <c r="H18" s="9" t="inlineStr"/>
      <c r="I18" s="8" t="inlineStr">
        <is>
          <t>SWOT, PPM, Bản quyền, Luật bảo vệ thông tin cá nhân</t>
        </is>
      </c>
    </row>
    <row r="19">
      <c r="B19" s="19" t="inlineStr">
        <is>
          <t>【書棚2】福嶋先生の集中ゼミ 科目B・アルゴリズム編 (2024年版)</t>
        </is>
      </c>
    </row>
    <row r="20">
      <c r="B20" s="9" t="inlineStr">
        <is>
          <t>Ch 01</t>
        </is>
      </c>
      <c r="C20" s="8" t="inlineStr">
        <is>
          <t>擬似言語の基礎構文・変数のスコープ・配列仕様</t>
        </is>
      </c>
      <c r="D20" s="8" t="inlineStr">
        <is>
          <t>科目B - 言語仕様</t>
        </is>
      </c>
      <c r="E20" s="9" t="inlineStr">
        <is>
          <t>未スキャン</t>
        </is>
      </c>
      <c r="F20" s="9" t="inlineStr">
        <is>
          <t>未着手</t>
        </is>
      </c>
      <c r="G20" s="9" t="inlineStr"/>
      <c r="H20" s="9" t="inlineStr"/>
      <c r="I20" s="8" t="inlineStr">
        <is>
          <t>Quy tắc chỉ số mảng từ 1, mũi tên gán, cấu trúc rẽ nhánh/vòng lặp</t>
        </is>
      </c>
    </row>
    <row r="21">
      <c r="B21" s="9" t="inlineStr">
        <is>
          <t>Ch 02</t>
        </is>
      </c>
      <c r="C21" s="8" t="inlineStr">
        <is>
          <t>配列の基本操作とトレース表の書き方</t>
        </is>
      </c>
      <c r="D21" s="8" t="inlineStr">
        <is>
          <t>科目B - トレース技法</t>
        </is>
      </c>
      <c r="E21" s="9" t="inlineStr">
        <is>
          <t>未スキャン</t>
        </is>
      </c>
      <c r="F21" s="9" t="inlineStr">
        <is>
          <t>未着手</t>
        </is>
      </c>
      <c r="G21" s="9" t="inlineStr"/>
      <c r="H21" s="9" t="inlineStr"/>
      <c r="I21" s="8" t="inlineStr">
        <is>
          <t>Cách lập bảng trace biến, kiểm tra giá trị qua từng bước</t>
        </is>
      </c>
    </row>
    <row r="22">
      <c r="B22" s="9" t="inlineStr">
        <is>
          <t>Ch 03</t>
        </is>
      </c>
      <c r="C22" s="8" t="inlineStr">
        <is>
          <t>線形探索と2分探索アルゴリズムの徹底解剖</t>
        </is>
      </c>
      <c r="D22" s="8" t="inlineStr">
        <is>
          <t>科目B - 探索</t>
        </is>
      </c>
      <c r="E22" s="9" t="inlineStr">
        <is>
          <t>未スキャン</t>
        </is>
      </c>
      <c r="F22" s="9" t="inlineStr">
        <is>
          <t>未着手</t>
        </is>
      </c>
      <c r="G22" s="9" t="inlineStr"/>
      <c r="H22" s="9" t="inlineStr"/>
      <c r="I22" s="8" t="inlineStr">
        <is>
          <t>Kỹ thuật lính canh 番兵法, công thức tìm mid = (low+high)/2</t>
        </is>
      </c>
    </row>
    <row r="23">
      <c r="B23" s="9" t="inlineStr">
        <is>
          <t>Ch 04</t>
        </is>
      </c>
      <c r="C23" s="8" t="inlineStr">
        <is>
          <t>整列アルゴリズム (バブル・選択・挿入ソート)</t>
        </is>
      </c>
      <c r="D23" s="8" t="inlineStr">
        <is>
          <t>科目B - ソート基本</t>
        </is>
      </c>
      <c r="E23" s="9" t="inlineStr">
        <is>
          <t>未スキャン</t>
        </is>
      </c>
      <c r="F23" s="9" t="inlineStr">
        <is>
          <t>未着手</t>
        </is>
      </c>
      <c r="G23" s="9" t="inlineStr"/>
      <c r="H23" s="9" t="inlineStr"/>
      <c r="I23" s="8" t="inlineStr">
        <is>
          <t>Đếm số lần hoán đổi, số lần so sánh, điều kiện dừng</t>
        </is>
      </c>
    </row>
    <row r="24">
      <c r="B24" s="9" t="inlineStr">
        <is>
          <t>Ch 05</t>
        </is>
      </c>
      <c r="C24" s="8" t="inlineStr">
        <is>
          <t>高度な整列 (クイックソート・マージソート)</t>
        </is>
      </c>
      <c r="D24" s="8" t="inlineStr">
        <is>
          <t>科目B - ソート応用</t>
        </is>
      </c>
      <c r="E24" s="9" t="inlineStr">
        <is>
          <t>未スキャン</t>
        </is>
      </c>
      <c r="F24" s="9" t="inlineStr">
        <is>
          <t>未着手</t>
        </is>
      </c>
      <c r="G24" s="9" t="inlineStr"/>
      <c r="H24" s="9" t="inlineStr"/>
      <c r="I24" s="8" t="inlineStr">
        <is>
          <t>Kỹ thuật chia để trị, pivot, mảng phụ trợ</t>
        </is>
      </c>
    </row>
    <row r="25">
      <c r="B25" s="9" t="inlineStr">
        <is>
          <t>Ch 06</t>
        </is>
      </c>
      <c r="C25" s="8" t="inlineStr">
        <is>
          <t>スタックとキューの擬似言語実装と応用</t>
        </is>
      </c>
      <c r="D25" s="8" t="inlineStr">
        <is>
          <t>科目B - データ構造</t>
        </is>
      </c>
      <c r="E25" s="9" t="inlineStr">
        <is>
          <t>未スキャン</t>
        </is>
      </c>
      <c r="F25" s="9" t="inlineStr">
        <is>
          <t>未着手</t>
        </is>
      </c>
      <c r="G25" s="9" t="inlineStr"/>
      <c r="H25" s="9" t="inlineStr"/>
      <c r="I25" s="8" t="inlineStr">
        <is>
          <t>Push/Pop mảng, vòng lặp Queue tròn (Ring buffer)</t>
        </is>
      </c>
    </row>
    <row r="26">
      <c r="B26" s="9" t="inlineStr">
        <is>
          <t>Ch 07</t>
        </is>
      </c>
      <c r="C26" s="8" t="inlineStr">
        <is>
          <t>2分木と木構造の巡回アルゴリズム (先行/中間/後続)</t>
        </is>
      </c>
      <c r="D26" s="8" t="inlineStr">
        <is>
          <t>科目B - 木構造</t>
        </is>
      </c>
      <c r="E26" s="9" t="inlineStr">
        <is>
          <t>未スキャン</t>
        </is>
      </c>
      <c r="F26" s="9" t="inlineStr">
        <is>
          <t>未着手</t>
        </is>
      </c>
      <c r="G26" s="9" t="inlineStr"/>
      <c r="H26" s="9" t="inlineStr"/>
      <c r="I26" s="8" t="inlineStr">
        <is>
          <t>DFS/BFS trên cây nhị phân, thao tác chèn/xóa nút</t>
        </is>
      </c>
    </row>
    <row r="27">
      <c r="B27" s="9" t="inlineStr">
        <is>
          <t>Ch 08</t>
        </is>
      </c>
      <c r="C27" s="8" t="inlineStr">
        <is>
          <t>再帰関数のトレースとコールスタックの理解</t>
        </is>
      </c>
      <c r="D27" s="8" t="inlineStr">
        <is>
          <t>科目B - 再帰</t>
        </is>
      </c>
      <c r="E27" s="9" t="inlineStr">
        <is>
          <t>未スキャン</t>
        </is>
      </c>
      <c r="F27" s="9" t="inlineStr">
        <is>
          <t>未着手</t>
        </is>
      </c>
      <c r="G27" s="9" t="inlineStr"/>
      <c r="H27" s="9" t="inlineStr"/>
      <c r="I27" s="8" t="inlineStr">
        <is>
          <t>Đệ quy Fibonacci, tính giai thừa, điều kiện dừng</t>
        </is>
      </c>
    </row>
    <row r="28">
      <c r="B28" s="9" t="inlineStr">
        <is>
          <t>Ch 09</t>
        </is>
      </c>
      <c r="C28" s="8" t="inlineStr">
        <is>
          <t>グラフの最短経路問題 (ダイクストラ法)</t>
        </is>
      </c>
      <c r="D28" s="8" t="inlineStr">
        <is>
          <t>科目B - グラフ</t>
        </is>
      </c>
      <c r="E28" s="9" t="inlineStr">
        <is>
          <t>未スキャン</t>
        </is>
      </c>
      <c r="F28" s="9" t="inlineStr">
        <is>
          <t>未着手</t>
        </is>
      </c>
      <c r="G28" s="9" t="inlineStr"/>
      <c r="H28" s="9" t="inlineStr"/>
      <c r="I28" s="8" t="inlineStr">
        <is>
          <t>Bảng trọng số ma trận kề, cập nhật khoảng cách ngắn nhất</t>
        </is>
      </c>
    </row>
    <row r="29">
      <c r="B29" s="9" t="inlineStr">
        <is>
          <t>Ch 10</t>
        </is>
      </c>
      <c r="C29" s="8" t="inlineStr">
        <is>
          <t>科目B 実戦模擬問題演習 (総合問題)</t>
        </is>
      </c>
      <c r="D29" s="8" t="inlineStr">
        <is>
          <t>科目B - 実戦演習</t>
        </is>
      </c>
      <c r="E29" s="9" t="inlineStr">
        <is>
          <t>未スキャン</t>
        </is>
      </c>
      <c r="F29" s="9" t="inlineStr">
        <is>
          <t>未着手</t>
        </is>
      </c>
      <c r="G29" s="9" t="inlineStr"/>
      <c r="H29" s="9" t="inlineStr"/>
      <c r="I29" s="8" t="inlineStr">
        <is>
          <t>Rèn luyện áp lực thời gian 6-8 phút/bài thuật toán lớn</t>
        </is>
      </c>
    </row>
    <row r="30"/>
    <row r="31">
      <c r="B31" s="19" t="inlineStr">
        <is>
          <t>【書棚3】令和08年 基本情報技術者 パーフェクトラーニング過去問題集</t>
        </is>
      </c>
      <c r="E31" t="inlineStr">
        <is>
          <t>未</t>
        </is>
      </c>
      <c r="F31">
        <f>COUNTIF(F20:F29, "完了")</f>
        <v/>
      </c>
    </row>
    <row r="32">
      <c r="B32" s="9" t="inlineStr">
        <is>
          <t>Set 01</t>
        </is>
      </c>
      <c r="C32" s="8" t="inlineStr">
        <is>
          <t>令和05年 公開問題 (科目A 60問 + 科目B 20問)</t>
        </is>
      </c>
      <c r="D32" s="8" t="inlineStr">
        <is>
          <t>過去問演習</t>
        </is>
      </c>
      <c r="E32" s="9" t="inlineStr">
        <is>
          <t>未スキャン</t>
        </is>
      </c>
      <c r="F32" s="9" t="inlineStr">
        <is>
          <t>未着手</t>
        </is>
      </c>
      <c r="G32" s="9" t="inlineStr"/>
      <c r="H32" s="9" t="inlineStr"/>
      <c r="I32" s="8" t="inlineStr">
        <is>
          <t>Bộ đề công bố chính thức năm R05 của IPA</t>
        </is>
      </c>
    </row>
    <row r="33">
      <c r="B33" s="9" t="inlineStr">
        <is>
          <t>Set 02</t>
        </is>
      </c>
      <c r="C33" s="8" t="inlineStr">
        <is>
          <t>令和06年 公開問題 (科目A 60問 + 科目B 20問)</t>
        </is>
      </c>
      <c r="D33" s="8" t="inlineStr">
        <is>
          <t>過去問演習</t>
        </is>
      </c>
      <c r="E33" s="9" t="inlineStr">
        <is>
          <t>未スキャン</t>
        </is>
      </c>
      <c r="F33" s="9" t="inlineStr">
        <is>
          <t>未着手</t>
        </is>
      </c>
      <c r="G33" s="9" t="inlineStr"/>
      <c r="H33" s="9" t="inlineStr"/>
      <c r="I33" s="8" t="inlineStr">
        <is>
          <t>Bộ đề công bố chính thức năm R06 của IPA</t>
        </is>
      </c>
    </row>
    <row r="34">
      <c r="B34" s="9" t="inlineStr">
        <is>
          <t>Set 03</t>
        </is>
      </c>
      <c r="C34" s="8" t="inlineStr">
        <is>
          <t>令和07年 公開問題 (科目A 60問 + 科目B 20問)</t>
        </is>
      </c>
      <c r="D34" s="8" t="inlineStr">
        <is>
          <t>過去問演習</t>
        </is>
      </c>
      <c r="E34" s="9" t="inlineStr">
        <is>
          <t>未スキャン</t>
        </is>
      </c>
      <c r="F34" s="9" t="inlineStr">
        <is>
          <t>未着手</t>
        </is>
      </c>
      <c r="G34" s="9" t="inlineStr"/>
      <c r="H34" s="9" t="inlineStr"/>
      <c r="I34" s="8" t="inlineStr">
        <is>
          <t>Bộ đề công bố chính thức năm R07 của IPA</t>
        </is>
      </c>
    </row>
    <row r="35">
      <c r="B35" s="9" t="inlineStr">
        <is>
          <t>Set 04</t>
        </is>
      </c>
      <c r="C35" s="8" t="inlineStr">
        <is>
          <t>令和08年 予想模擬問題 (科目A 60問 + 科目B 20問)</t>
        </is>
      </c>
      <c r="D35" s="8" t="inlineStr">
        <is>
          <t>予想模試</t>
        </is>
      </c>
      <c r="E35" s="9" t="inlineStr">
        <is>
          <t>未スキャン</t>
        </is>
      </c>
      <c r="F35" s="9" t="inlineStr">
        <is>
          <t>未着手</t>
        </is>
      </c>
      <c r="G35" s="9" t="inlineStr"/>
      <c r="H35" s="9" t="inlineStr"/>
      <c r="I35" s="8" t="inlineStr">
        <is>
          <t>Đề thi thử dự đoán xác thực theo Syllabus 9.1 mới nhất</t>
        </is>
      </c>
    </row>
    <row r="36"/>
    <row r="37"/>
    <row r="38"/>
    <row r="39">
      <c r="E39" t="inlineStr">
        <is>
          <t>未</t>
        </is>
      </c>
      <c r="F39">
        <f>COUNTIF(F32:F35, "完了")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22" customWidth="1" min="3" max="3"/>
    <col width="31" customWidth="1" min="4" max="4"/>
    <col width="20" customWidth="1" min="5" max="5"/>
    <col width="18" customWidth="1" min="6" max="6"/>
    <col width="22" customWidth="1" min="7" max="7"/>
    <col width="50" customWidth="1" min="8" max="8"/>
    <col width="26" customWidth="1" min="9" max="9"/>
    <col width="25" customWidth="1" min="10" max="10"/>
    <col width="18" customWidth="1" min="11" max="11"/>
    <col width="18" customWidth="1" min="12" max="12"/>
    <col width="22" customWidth="1" min="13" max="13"/>
    <col width="50" customWidth="1" min="14" max="14"/>
    <col width="50" customWidth="1" min="15" max="15"/>
    <col width="19" customWidth="1" min="16" max="16"/>
    <col width="41" customWidth="1" min="17" max="17"/>
  </cols>
  <sheetData>
    <row r="1"/>
    <row r="2">
      <c r="B2" s="1" t="inlineStr">
        <is>
          <t>模擬試験・過去問 得点記録 &amp; IPA合否判定 (Mock Exam Score Analytics)</t>
        </is>
      </c>
    </row>
    <row r="3">
      <c r="B3" s="2" t="inlineStr">
        <is>
          <t>Chuẩn đỗ IPA: Cả 2 môn đều phải &gt;= 600/1000 điểm | Mức an toàn: &gt;= 700 điểm</t>
        </is>
      </c>
    </row>
    <row r="4"/>
    <row r="5">
      <c r="B5" s="7" t="inlineStr">
        <is>
          <t>回数 / ID</t>
        </is>
      </c>
      <c r="C5" s="7" t="inlineStr">
        <is>
          <t>実施日 (Ngày làm)</t>
        </is>
      </c>
      <c r="D5" s="7" t="inlineStr">
        <is>
          <t>試験セット名 (Tên đề thi)</t>
        </is>
      </c>
      <c r="E5" s="7" t="inlineStr">
        <is>
          <t>科目A正解数 (/60)</t>
        </is>
      </c>
      <c r="F5" s="7" t="inlineStr">
        <is>
          <t>科目A正解率 (%)</t>
        </is>
      </c>
      <c r="G5" s="7" t="inlineStr">
        <is>
          <t>科目Aスコア (/1000)</t>
        </is>
      </c>
      <c r="H5" s="7" t="inlineStr">
        <is>
          <t>科目A判定</t>
        </is>
      </c>
      <c r="I5" s="7" t="inlineStr">
        <is>
          <t>科目Bアルゴリズム (/16)</t>
        </is>
      </c>
      <c r="J5" s="7" t="inlineStr">
        <is>
          <t>科目Bセキュリティ (/4)</t>
        </is>
      </c>
      <c r="K5" s="7" t="inlineStr">
        <is>
          <t>科目B合計 (/20)</t>
        </is>
      </c>
      <c r="L5" s="7" t="inlineStr">
        <is>
          <t>科目B正解率 (%)</t>
        </is>
      </c>
      <c r="M5" s="7" t="inlineStr">
        <is>
          <t>科目Bスコア (/1000)</t>
        </is>
      </c>
      <c r="N5" s="7" t="inlineStr">
        <is>
          <t>科目B判定</t>
        </is>
      </c>
      <c r="O5" s="7" t="inlineStr">
        <is>
          <t>総合判定 (Pass/Fail)</t>
        </is>
      </c>
      <c r="P5" s="7" t="inlineStr">
        <is>
          <t>所要時間 (Phút)</t>
        </is>
      </c>
      <c r="Q5" s="7" t="inlineStr">
        <is>
          <t>分析 &amp; 弱点メモ (Ghi chú điểm yếu)</t>
        </is>
      </c>
    </row>
    <row r="6">
      <c r="B6" s="9" t="inlineStr">
        <is>
          <t>Mock 01</t>
        </is>
      </c>
      <c r="C6" s="9" t="inlineStr"/>
      <c r="D6" s="8" t="inlineStr">
        <is>
          <t>令和05年 公開問題 (R05)</t>
        </is>
      </c>
      <c r="E6" s="9" t="n">
        <v>0</v>
      </c>
      <c r="F6" s="20">
        <f>E6/60</f>
        <v/>
      </c>
      <c r="G6" s="21">
        <f>F6*1000</f>
        <v/>
      </c>
      <c r="H6" s="9">
        <f>IF(G6&gt;=700,"安全圏",IF(G6&gt;=600,"合格","不合格"))</f>
        <v/>
      </c>
      <c r="I6" s="9" t="n">
        <v>0</v>
      </c>
      <c r="J6" s="9" t="n">
        <v>0</v>
      </c>
      <c r="K6" s="9">
        <f>I6+J6</f>
        <v/>
      </c>
      <c r="L6" s="20">
        <f>K6/20</f>
        <v/>
      </c>
      <c r="M6" s="21">
        <f>L6*1000</f>
        <v/>
      </c>
      <c r="N6" s="9">
        <f>IF(M6&gt;=700,"安全圏",IF(M6&gt;=600,"合格","不合格"))</f>
        <v/>
      </c>
      <c r="O6" s="9">
        <f>IF(AND(G6&gt;=600,M6&gt;=600),"★ 合格 (PASS)","✕ 不合格 (FAIL)")</f>
        <v/>
      </c>
      <c r="P6" s="9" t="inlineStr"/>
      <c r="Q6" s="8" t="inlineStr"/>
    </row>
    <row r="7">
      <c r="B7" s="9" t="inlineStr">
        <is>
          <t>Mock 02</t>
        </is>
      </c>
      <c r="C7" s="9" t="inlineStr"/>
      <c r="D7" s="8" t="inlineStr">
        <is>
          <t>令和06年 公開問題 (R06)</t>
        </is>
      </c>
      <c r="E7" s="9" t="n">
        <v>0</v>
      </c>
      <c r="F7" s="20">
        <f>E7/60</f>
        <v/>
      </c>
      <c r="G7" s="21">
        <f>F7*1000</f>
        <v/>
      </c>
      <c r="H7" s="9">
        <f>IF(G7&gt;=700,"安全圏",IF(G7&gt;=600,"合格","不合格"))</f>
        <v/>
      </c>
      <c r="I7" s="9" t="n">
        <v>0</v>
      </c>
      <c r="J7" s="9" t="n">
        <v>0</v>
      </c>
      <c r="K7" s="9">
        <f>I7+J7</f>
        <v/>
      </c>
      <c r="L7" s="20">
        <f>K7/20</f>
        <v/>
      </c>
      <c r="M7" s="21">
        <f>L7*1000</f>
        <v/>
      </c>
      <c r="N7" s="9">
        <f>IF(M7&gt;=700,"安全圏",IF(M7&gt;=600,"合格","不合格"))</f>
        <v/>
      </c>
      <c r="O7" s="9">
        <f>IF(AND(G7&gt;=600,M7&gt;=600),"★ 合格 (PASS)","✕ 不合格 (FAIL)")</f>
        <v/>
      </c>
      <c r="P7" s="9" t="inlineStr"/>
      <c r="Q7" s="8" t="inlineStr"/>
    </row>
    <row r="8">
      <c r="B8" s="9" t="inlineStr">
        <is>
          <t>Mock 03</t>
        </is>
      </c>
      <c r="C8" s="9" t="inlineStr"/>
      <c r="D8" s="8" t="inlineStr">
        <is>
          <t>令和07年 公開問題 (R07)</t>
        </is>
      </c>
      <c r="E8" s="9" t="n">
        <v>0</v>
      </c>
      <c r="F8" s="20">
        <f>E8/60</f>
        <v/>
      </c>
      <c r="G8" s="21">
        <f>F8*1000</f>
        <v/>
      </c>
      <c r="H8" s="9">
        <f>IF(G8&gt;=700,"安全圏",IF(G8&gt;=600,"合格","不合格"))</f>
        <v/>
      </c>
      <c r="I8" s="9" t="n">
        <v>0</v>
      </c>
      <c r="J8" s="9" t="n">
        <v>0</v>
      </c>
      <c r="K8" s="9">
        <f>I8+J8</f>
        <v/>
      </c>
      <c r="L8" s="20">
        <f>K8/20</f>
        <v/>
      </c>
      <c r="M8" s="21">
        <f>L8*1000</f>
        <v/>
      </c>
      <c r="N8" s="9">
        <f>IF(M8&gt;=700,"安全圏",IF(M8&gt;=600,"合格","不合格"))</f>
        <v/>
      </c>
      <c r="O8" s="9">
        <f>IF(AND(G8&gt;=600,M8&gt;=600),"★ 合格 (PASS)","✕ 不合格 (FAIL)")</f>
        <v/>
      </c>
      <c r="P8" s="9" t="inlineStr"/>
      <c r="Q8" s="8" t="inlineStr"/>
    </row>
    <row r="9">
      <c r="B9" s="9" t="inlineStr">
        <is>
          <t>Mock 04</t>
        </is>
      </c>
      <c r="C9" s="9" t="inlineStr"/>
      <c r="D9" s="8" t="inlineStr">
        <is>
          <t>令和08年 予想模試 (R08)</t>
        </is>
      </c>
      <c r="E9" s="9" t="n">
        <v>0</v>
      </c>
      <c r="F9" s="20">
        <f>E9/60</f>
        <v/>
      </c>
      <c r="G9" s="21">
        <f>F9*1000</f>
        <v/>
      </c>
      <c r="H9" s="9">
        <f>IF(G9&gt;=700,"安全圏",IF(G9&gt;=600,"合格","不合格"))</f>
        <v/>
      </c>
      <c r="I9" s="9" t="n">
        <v>0</v>
      </c>
      <c r="J9" s="9" t="n">
        <v>0</v>
      </c>
      <c r="K9" s="9">
        <f>I9+J9</f>
        <v/>
      </c>
      <c r="L9" s="20">
        <f>K9/20</f>
        <v/>
      </c>
      <c r="M9" s="21">
        <f>L9*1000</f>
        <v/>
      </c>
      <c r="N9" s="9">
        <f>IF(M9&gt;=700,"安全圏",IF(M9&gt;=600,"合格","不合格"))</f>
        <v/>
      </c>
      <c r="O9" s="9">
        <f>IF(AND(G9&gt;=600,M9&gt;=600),"★ 合格 (PASS)","✕ 不合格 (FAIL)")</f>
        <v/>
      </c>
      <c r="P9" s="9" t="inlineStr"/>
      <c r="Q9" s="8" t="inlineStr"/>
    </row>
    <row r="10">
      <c r="B10" s="9" t="inlineStr">
        <is>
          <t>Mock 05</t>
        </is>
      </c>
      <c r="C10" s="9" t="inlineStr"/>
      <c r="D10" s="8" t="inlineStr">
        <is>
          <t>DEKIDAS-WEB 模擬演習 01</t>
        </is>
      </c>
      <c r="E10" s="9" t="n">
        <v>0</v>
      </c>
      <c r="F10" s="20">
        <f>E10/60</f>
        <v/>
      </c>
      <c r="G10" s="21">
        <f>F10*1000</f>
        <v/>
      </c>
      <c r="H10" s="9">
        <f>IF(G10&gt;=700,"安全圏",IF(G10&gt;=600,"合格","不合格"))</f>
        <v/>
      </c>
      <c r="I10" s="9" t="n">
        <v>0</v>
      </c>
      <c r="J10" s="9" t="n">
        <v>0</v>
      </c>
      <c r="K10" s="9">
        <f>I10+J10</f>
        <v/>
      </c>
      <c r="L10" s="20">
        <f>K10/20</f>
        <v/>
      </c>
      <c r="M10" s="21">
        <f>L10*1000</f>
        <v/>
      </c>
      <c r="N10" s="9">
        <f>IF(M10&gt;=700,"安全圏",IF(M10&gt;=600,"合格","不合格"))</f>
        <v/>
      </c>
      <c r="O10" s="9">
        <f>IF(AND(G10&gt;=600,M10&gt;=600),"★ 合格 (PASS)","✕ 不合格 (FAIL)")</f>
        <v/>
      </c>
      <c r="P10" s="9" t="inlineStr"/>
      <c r="Q10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40" customWidth="1" min="3" max="3"/>
    <col width="37" customWidth="1" min="4" max="4"/>
    <col width="50" customWidth="1" min="5" max="5"/>
    <col width="28" customWidth="1" min="6" max="6"/>
    <col width="37" customWidth="1" min="7" max="7"/>
    <col width="35" customWidth="1" min="8" max="8"/>
    <col width="50" customWidth="1" min="9" max="9"/>
    <col width="21" customWidth="1" min="10" max="10"/>
    <col width="21" customWidth="1" min="11" max="11"/>
    <col width="21" customWidth="1" min="12" max="12"/>
    <col width="21" customWidth="1" min="13" max="13"/>
  </cols>
  <sheetData>
    <row r="1"/>
    <row r="2">
      <c r="B2" s="1" t="inlineStr">
        <is>
          <t>誤答・復習ノート (Error Notebook &amp; 3-Cycle Spaced Repetition)</t>
        </is>
      </c>
    </row>
    <row r="3">
      <c r="B3" s="2" t="inlineStr">
        <is>
          <t>Chu trình ôn lại ngắt quãng 3 lần: Lần 1 (Sau 1 ngày) -&gt; Lần 2 (Sau 3 ngày) -&gt; Lần 3 (Sau 7 ngày)</t>
        </is>
      </c>
    </row>
    <row r="4"/>
    <row r="5">
      <c r="B5" s="7" t="inlineStr">
        <is>
          <t>ID</t>
        </is>
      </c>
      <c r="C5" s="7" t="inlineStr">
        <is>
          <t>出題元 / 問題番号 (Nguồn &amp; Câu số)</t>
        </is>
      </c>
      <c r="D5" s="7" t="inlineStr">
        <is>
          <t>分野 / シラバス項目 (Chuyên đề)</t>
        </is>
      </c>
      <c r="E5" s="7" t="inlineStr">
        <is>
          <t>問題の要約 (Tóm tắt câu hỏi)</t>
        </is>
      </c>
      <c r="F5" s="7" t="inlineStr">
        <is>
          <t>正解 (Đáp án đúng)</t>
        </is>
      </c>
      <c r="G5" s="7" t="inlineStr">
        <is>
          <t>自分の誤答 (Đáp án mình chọn)</t>
        </is>
      </c>
      <c r="H5" s="7" t="inlineStr">
        <is>
          <t>間違いの原因 (Nguyên nhân sai)</t>
        </is>
      </c>
      <c r="I5" s="7" t="inlineStr">
        <is>
          <t>なぜ間違えたか / ポイント (Bản chất &amp; Điểm cốt lõi)</t>
        </is>
      </c>
      <c r="J5" s="7" t="inlineStr">
        <is>
          <t>復習1回目 (Lần 1)</t>
        </is>
      </c>
      <c r="K5" s="7" t="inlineStr">
        <is>
          <t>復習2回目 (Lần 2)</t>
        </is>
      </c>
      <c r="L5" s="7" t="inlineStr">
        <is>
          <t>復習3回目 (Lần 3)</t>
        </is>
      </c>
      <c r="M5" s="7" t="inlineStr">
        <is>
          <t>習得状態 (Mastery)</t>
        </is>
      </c>
    </row>
    <row r="6">
      <c r="B6" s="9" t="inlineStr">
        <is>
          <t>ERR-001</t>
        </is>
      </c>
      <c r="C6" s="8" t="inlineStr">
        <is>
          <t>かやのき Ch04 問12</t>
        </is>
      </c>
      <c r="D6" s="8" t="inlineStr">
        <is>
          <t>システム構成</t>
        </is>
      </c>
      <c r="E6" s="8" t="inlineStr">
        <is>
          <t>MTBFとMTTRから稼働率を求める計算問題</t>
        </is>
      </c>
      <c r="F6" s="8" t="inlineStr">
        <is>
          <t>ア (0.96)</t>
        </is>
      </c>
      <c r="G6" s="9" t="inlineStr">
        <is>
          <t>ウ (0.80)</t>
        </is>
      </c>
      <c r="H6" s="8" t="inlineStr">
        <is>
          <t>計算・公式の混同</t>
        </is>
      </c>
      <c r="I6" s="8" t="inlineStr">
        <is>
          <t>公式: MTBF / (MTBF + MTTR). Đọc nhầm số liệu của 2 server dự phòng.</t>
        </is>
      </c>
      <c r="J6" s="9" t="inlineStr">
        <is>
          <t>〇 (Đạt)</t>
        </is>
      </c>
      <c r="K6" s="9" t="inlineStr">
        <is>
          <t>〇 (Đạt)</t>
        </is>
      </c>
      <c r="L6" s="9" t="inlineStr">
        <is>
          <t>未</t>
        </is>
      </c>
      <c r="M6" s="9" t="inlineStr">
        <is>
          <t>復習中</t>
        </is>
      </c>
    </row>
    <row r="7">
      <c r="B7" s="9" t="inlineStr">
        <is>
          <t>ERR-002</t>
        </is>
      </c>
      <c r="C7" s="8" t="inlineStr">
        <is>
          <t>福嶋 Ch03 例題2</t>
        </is>
      </c>
      <c r="D7" s="8" t="inlineStr">
        <is>
          <t>科目B・2分探索</t>
        </is>
      </c>
      <c r="E7" s="8" t="inlineStr">
        <is>
          <t>探索範囲の更新時 low = mid + 1 の +1 を忘れて無限ループになるバグ</t>
        </is>
      </c>
      <c r="F7" s="8" t="inlineStr">
        <is>
          <t>イ (low ← mid + 1)</t>
        </is>
      </c>
      <c r="G7" s="9" t="inlineStr">
        <is>
          <t>エ (low ← mid)</t>
        </is>
      </c>
      <c r="H7" s="8" t="inlineStr">
        <is>
          <t>アルゴリズム理解不足</t>
        </is>
      </c>
      <c r="I7" s="8" t="inlineStr">
        <is>
          <t>Khi cập nhật khoảng tìm kiếm nửa sau, bắt buộc phải loại trừ vị trí mid hiện tại bằng +1.</t>
        </is>
      </c>
      <c r="J7" s="9" t="inlineStr">
        <is>
          <t>〇 (Đạt)</t>
        </is>
      </c>
      <c r="K7" s="9" t="inlineStr">
        <is>
          <t>未</t>
        </is>
      </c>
      <c r="L7" s="9" t="inlineStr">
        <is>
          <t>未</t>
        </is>
      </c>
      <c r="M7" s="9" t="inlineStr">
        <is>
          <t>復習中</t>
        </is>
      </c>
    </row>
    <row r="8">
      <c r="B8" s="9" t="inlineStr">
        <is>
          <t>ERR-003</t>
        </is>
      </c>
      <c r="C8" s="8" t="inlineStr">
        <is>
          <t>パーフェクト R05 問28</t>
        </is>
      </c>
      <c r="D8" s="8" t="inlineStr">
        <is>
          <t>セキュリティ</t>
        </is>
      </c>
      <c r="E8" s="8" t="inlineStr">
        <is>
          <t>公開鍵暗号方式における秘密鍵の役割 (暗号化 vs 署名)</t>
        </is>
      </c>
      <c r="F8" s="8" t="inlineStr">
        <is>
          <t>エ (送信者の秘密鍵で署名)</t>
        </is>
      </c>
      <c r="G8" s="9" t="inlineStr">
        <is>
          <t>ア (受信者の公開鍵で署名)</t>
        </is>
      </c>
      <c r="H8" s="8" t="inlineStr">
        <is>
          <t>日本語の読解ミス</t>
        </is>
      </c>
      <c r="I8" s="8" t="inlineStr">
        <is>
          <t>Chữ ký số dùng khóa bí mật của người gửi để ký, khóa công khai của người gửi để xác thực!</t>
        </is>
      </c>
      <c r="J8" s="9" t="inlineStr">
        <is>
          <t>未</t>
        </is>
      </c>
      <c r="K8" s="9" t="inlineStr">
        <is>
          <t>未</t>
        </is>
      </c>
      <c r="L8" s="9" t="inlineStr">
        <is>
          <t>未</t>
        </is>
      </c>
      <c r="M8" s="9" t="inlineStr">
        <is>
          <t>要復習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8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32" customWidth="1" min="3" max="3"/>
    <col width="50" customWidth="1" min="4" max="4"/>
    <col width="48" customWidth="1" min="5" max="5"/>
    <col width="50" customWidth="1" min="6" max="6"/>
    <col width="32" customWidth="1" min="7" max="7"/>
    <col width="28" customWidth="1" min="8" max="8"/>
    <col width="18" customWidth="1" min="9" max="9"/>
    <col width="32" customWidth="1" min="10" max="10"/>
  </cols>
  <sheetData>
    <row r="1"/>
    <row r="2">
      <c r="B2" s="1" t="inlineStr">
        <is>
          <t>IT専門用語集 - Mazii連携 (FE Core Japanese IT Glossary from Mazii)</t>
        </is>
      </c>
    </row>
    <row r="3">
      <c r="B3" s="2" t="inlineStr">
        <is>
          <t>Trích xuất từ cơ sở dữ liệu từ điển Mazii SQLite (dict.sqlite) | Phân loại theo 3 nhóm kiến thức IPA</t>
        </is>
      </c>
    </row>
    <row r="4"/>
    <row r="5">
      <c r="B5" s="7" t="inlineStr">
        <is>
          <t>ID</t>
        </is>
      </c>
      <c r="C5" s="7" t="inlineStr">
        <is>
          <t>用語 (Thuật ngữ Kanji/Kana)</t>
        </is>
      </c>
      <c r="D5" s="7" t="inlineStr">
        <is>
          <t>読み方 (Phiên âm Hiragana/Kana)</t>
        </is>
      </c>
      <c r="E5" s="7" t="inlineStr">
        <is>
          <t>英語表記 (Thuật ngữ tiếng Anh)</t>
        </is>
      </c>
      <c r="F5" s="7" t="inlineStr">
        <is>
          <t>ベトナム語の意味 (Giải nghĩa tiếng Việt Mazii)</t>
        </is>
      </c>
      <c r="G5" s="7" t="inlineStr">
        <is>
          <t>シラバス分野 (Phân loại)</t>
        </is>
      </c>
      <c r="H5" s="7" t="inlineStr">
        <is>
          <t>重要度 (Độ quan trọng)</t>
        </is>
      </c>
      <c r="I5" s="7" t="inlineStr">
        <is>
          <t>習得 (Mastered)</t>
        </is>
      </c>
      <c r="J5" s="7" t="inlineStr">
        <is>
          <t>暗記メモ (Ghi chú cá nhân)</t>
        </is>
      </c>
    </row>
    <row r="6">
      <c r="B6" s="9" t="inlineStr">
        <is>
          <t>FE-001</t>
        </is>
      </c>
      <c r="C6" s="8" t="inlineStr">
        <is>
          <t>アルゴリズム</t>
        </is>
      </c>
      <c r="D6" s="12" t="inlineStr">
        <is>
          <t>アルゴリズム</t>
        </is>
      </c>
      <c r="E6" s="8" t="inlineStr">
        <is>
          <t>Algorithm</t>
        </is>
      </c>
      <c r="F6" s="8" t="inlineStr">
        <is>
          <t>Thuật toán (Trình tự hữu hạn các bước tính toán để giải quyết bài toán)</t>
        </is>
      </c>
      <c r="G6" s="8" t="inlineStr">
        <is>
          <t>テクノロジ系 - 基礎理論</t>
        </is>
      </c>
      <c r="H6" s="9" t="inlineStr">
        <is>
          <t>⭐⭐⭐</t>
        </is>
      </c>
      <c r="I6" s="9" t="inlineStr">
        <is>
          <t>未</t>
        </is>
      </c>
      <c r="J6" s="8" t="inlineStr"/>
    </row>
    <row r="7">
      <c r="B7" s="9" t="inlineStr">
        <is>
          <t>FE-002</t>
        </is>
      </c>
      <c r="C7" s="8" t="inlineStr">
        <is>
          <t>擬似言語</t>
        </is>
      </c>
      <c r="D7" s="12" t="inlineStr">
        <is>
          <t>擬似言語</t>
        </is>
      </c>
      <c r="E7" s="8" t="inlineStr">
        <is>
          <t>Pseudo-language / Pseudo-code</t>
        </is>
      </c>
      <c r="F7" s="8" t="inlineStr">
        <is>
          <t>Ngôn ngữ giả (Mã giả chuẩn của IPA dùng trong bài thi môn B)</t>
        </is>
      </c>
      <c r="G7" s="8" t="inlineStr">
        <is>
          <t>テクノロジ系 - 基礎理論</t>
        </is>
      </c>
      <c r="H7" s="9" t="inlineStr">
        <is>
          <t>⭐⭐⭐</t>
        </is>
      </c>
      <c r="I7" s="9" t="inlineStr">
        <is>
          <t>未</t>
        </is>
      </c>
      <c r="J7" s="8" t="inlineStr"/>
    </row>
    <row r="8">
      <c r="B8" s="9" t="inlineStr">
        <is>
          <t>FE-003</t>
        </is>
      </c>
      <c r="C8" s="8" t="inlineStr">
        <is>
          <t>配列</t>
        </is>
      </c>
      <c r="D8" s="12" t="inlineStr">
        <is>
          <t>はいれつ</t>
        </is>
      </c>
      <c r="E8" s="8" t="inlineStr">
        <is>
          <t>Array</t>
        </is>
      </c>
      <c r="F8" s="8" t="inlineStr">
        <is>
          <t>Mảng dữ liệu (Cấu trúc lưu trữ tuần tự các phần tử cùng kiểu)</t>
        </is>
      </c>
      <c r="G8" s="8" t="inlineStr">
        <is>
          <t>テクノロジ系 - 基礎理論</t>
        </is>
      </c>
      <c r="H8" s="9" t="inlineStr">
        <is>
          <t>⭐⭐⭐</t>
        </is>
      </c>
      <c r="I8" s="9" t="inlineStr">
        <is>
          <t>未</t>
        </is>
      </c>
      <c r="J8" s="8" t="inlineStr"/>
    </row>
    <row r="9">
      <c r="B9" s="9" t="inlineStr">
        <is>
          <t>FE-004</t>
        </is>
      </c>
      <c r="C9" s="8" t="inlineStr">
        <is>
          <t>スタック</t>
        </is>
      </c>
      <c r="D9" s="12" t="inlineStr">
        <is>
          <t>スタック</t>
        </is>
      </c>
      <c r="E9" s="8" t="inlineStr">
        <is>
          <t>Stack (LIFO)</t>
        </is>
      </c>
      <c r="F9" s="8" t="inlineStr">
        <is>
          <t>Ngăn xếp Stack (Cơ chế vào sau ra trước LIFO - Push / Pop)</t>
        </is>
      </c>
      <c r="G9" s="8" t="inlineStr">
        <is>
          <t>テクノロジ系 - 基礎理論</t>
        </is>
      </c>
      <c r="H9" s="9" t="inlineStr">
        <is>
          <t>⭐⭐⭐</t>
        </is>
      </c>
      <c r="I9" s="9" t="inlineStr">
        <is>
          <t>未</t>
        </is>
      </c>
      <c r="J9" s="8" t="inlineStr"/>
    </row>
    <row r="10">
      <c r="B10" s="9" t="inlineStr">
        <is>
          <t>FE-005</t>
        </is>
      </c>
      <c r="C10" s="8" t="inlineStr">
        <is>
          <t>キュー</t>
        </is>
      </c>
      <c r="D10" s="12" t="inlineStr">
        <is>
          <t>キュー</t>
        </is>
      </c>
      <c r="E10" s="8" t="inlineStr">
        <is>
          <t>Queue (FIFO)</t>
        </is>
      </c>
      <c r="F10" s="8" t="inlineStr">
        <is>
          <t>Hàng đợi Queue (Cơ chế vào trước ra trước FIFO - Enqueue / Dequeue)</t>
        </is>
      </c>
      <c r="G10" s="8" t="inlineStr">
        <is>
          <t>テクノロジ系 - 基礎理論</t>
        </is>
      </c>
      <c r="H10" s="9" t="inlineStr">
        <is>
          <t>⭐⭐⭐</t>
        </is>
      </c>
      <c r="I10" s="9" t="inlineStr">
        <is>
          <t>未</t>
        </is>
      </c>
      <c r="J10" s="8" t="inlineStr"/>
    </row>
    <row r="11">
      <c r="B11" s="9" t="inlineStr">
        <is>
          <t>FE-006</t>
        </is>
      </c>
      <c r="C11" s="8" t="inlineStr">
        <is>
          <t>木構造</t>
        </is>
      </c>
      <c r="D11" s="12" t="inlineStr">
        <is>
          <t>きこうぞう</t>
        </is>
      </c>
      <c r="E11" s="8" t="inlineStr">
        <is>
          <t>Tree Structure</t>
        </is>
      </c>
      <c r="F11" s="8" t="inlineStr">
        <is>
          <t>Cấu trúc cây Tree (Gốc Root, Nút Node, Lá Leaf, Cây con Subtree)</t>
        </is>
      </c>
      <c r="G11" s="8" t="inlineStr">
        <is>
          <t>テクノロジ系 - 基礎理論</t>
        </is>
      </c>
      <c r="H11" s="9" t="inlineStr">
        <is>
          <t>⭐⭐⭐</t>
        </is>
      </c>
      <c r="I11" s="9" t="inlineStr">
        <is>
          <t>未</t>
        </is>
      </c>
      <c r="J11" s="8" t="inlineStr"/>
    </row>
    <row r="12">
      <c r="B12" s="9" t="inlineStr">
        <is>
          <t>FE-007</t>
        </is>
      </c>
      <c r="C12" s="8" t="inlineStr">
        <is>
          <t>2分探索木</t>
        </is>
      </c>
      <c r="D12" s="12" t="inlineStr">
        <is>
          <t>2分探索木</t>
        </is>
      </c>
      <c r="E12" s="8" t="inlineStr">
        <is>
          <t>Binary Search Tree</t>
        </is>
      </c>
      <c r="F12" s="8" t="inlineStr">
        <is>
          <t>Cây nhị phân tìm kiếm BST (Nút con trái &lt; Nút cha &lt;= Nút con phải)</t>
        </is>
      </c>
      <c r="G12" s="8" t="inlineStr">
        <is>
          <t>テクノロジ系 - 基礎理論</t>
        </is>
      </c>
      <c r="H12" s="9" t="inlineStr">
        <is>
          <t>⭐⭐⭐</t>
        </is>
      </c>
      <c r="I12" s="9" t="inlineStr">
        <is>
          <t>未</t>
        </is>
      </c>
      <c r="J12" s="8" t="inlineStr"/>
    </row>
    <row r="13">
      <c r="B13" s="9" t="inlineStr">
        <is>
          <t>FE-008</t>
        </is>
      </c>
      <c r="C13" s="8" t="inlineStr">
        <is>
          <t>線形探索</t>
        </is>
      </c>
      <c r="D13" s="12" t="inlineStr">
        <is>
          <t>せんけいたんさく</t>
        </is>
      </c>
      <c r="E13" s="8" t="inlineStr">
        <is>
          <t>Linear Search</t>
        </is>
      </c>
      <c r="F13" s="8" t="inlineStr">
        <is>
          <t>Tìm kiếm tuyến tính (Quét tuần tự từ đầu đến cuối O(n), kèm kỹ thuật lính canh 番兵法)</t>
        </is>
      </c>
      <c r="G13" s="8" t="inlineStr">
        <is>
          <t>テクノロジ系 - 基礎理論</t>
        </is>
      </c>
      <c r="H13" s="9" t="inlineStr">
        <is>
          <t>⭐⭐</t>
        </is>
      </c>
      <c r="I13" s="9" t="inlineStr">
        <is>
          <t>未</t>
        </is>
      </c>
      <c r="J13" s="8" t="inlineStr"/>
    </row>
    <row r="14">
      <c r="B14" s="9" t="inlineStr">
        <is>
          <t>FE-009</t>
        </is>
      </c>
      <c r="C14" s="8" t="inlineStr">
        <is>
          <t>二分探索</t>
        </is>
      </c>
      <c r="D14" s="12" t="inlineStr">
        <is>
          <t>二分探索</t>
        </is>
      </c>
      <c r="E14" s="8" t="inlineStr">
        <is>
          <t>Binary Search</t>
        </is>
      </c>
      <c r="F14" s="8" t="inlineStr">
        <is>
          <t>Tìm kiếm nhị phân (Chia đôi khoảng tìm kiếm O(log n), yêu cầu mảng đã sắp xếp)</t>
        </is>
      </c>
      <c r="G14" s="8" t="inlineStr">
        <is>
          <t>テクノロジ系 - 基礎理論</t>
        </is>
      </c>
      <c r="H14" s="9" t="inlineStr">
        <is>
          <t>⭐⭐⭐</t>
        </is>
      </c>
      <c r="I14" s="9" t="inlineStr">
        <is>
          <t>未</t>
        </is>
      </c>
      <c r="J14" s="8" t="inlineStr"/>
    </row>
    <row r="15">
      <c r="B15" s="9" t="inlineStr">
        <is>
          <t>FE-010</t>
        </is>
      </c>
      <c r="C15" s="8" t="inlineStr">
        <is>
          <t>ハッシュ法</t>
        </is>
      </c>
      <c r="D15" s="12" t="inlineStr">
        <is>
          <t>ハッシュほう</t>
        </is>
      </c>
      <c r="E15" s="8" t="inlineStr">
        <is>
          <t>Hashing</t>
        </is>
      </c>
      <c r="F15" s="8" t="inlineStr">
        <is>
          <t>Bảng băm Hashing (Ánh xạ khóa qua hàm băm O(1), xử lý va chạm collision)</t>
        </is>
      </c>
      <c r="G15" s="8" t="inlineStr">
        <is>
          <t>テクノロジ系 - 基礎理論</t>
        </is>
      </c>
      <c r="H15" s="9" t="inlineStr">
        <is>
          <t>⭐⭐⭐</t>
        </is>
      </c>
      <c r="I15" s="9" t="inlineStr">
        <is>
          <t>未</t>
        </is>
      </c>
      <c r="J15" s="8" t="inlineStr"/>
    </row>
    <row r="16">
      <c r="B16" s="9" t="inlineStr">
        <is>
          <t>FE-011</t>
        </is>
      </c>
      <c r="C16" s="8" t="inlineStr">
        <is>
          <t>再帰</t>
        </is>
      </c>
      <c r="D16" s="12" t="inlineStr">
        <is>
          <t>さいき</t>
        </is>
      </c>
      <c r="E16" s="8" t="inlineStr">
        <is>
          <t>Recursion</t>
        </is>
      </c>
      <c r="F16" s="8" t="inlineStr">
        <is>
          <t>Đệ quy Recursion (Hàm tự gọi lại chính nó với điều kiện dừng cơ sở)</t>
        </is>
      </c>
      <c r="G16" s="8" t="inlineStr">
        <is>
          <t>テクノロジ系 - 基礎理論</t>
        </is>
      </c>
      <c r="H16" s="9" t="inlineStr">
        <is>
          <t>⭐⭐⭐</t>
        </is>
      </c>
      <c r="I16" s="9" t="inlineStr">
        <is>
          <t>未</t>
        </is>
      </c>
      <c r="J16" s="8" t="inlineStr"/>
    </row>
    <row r="17">
      <c r="B17" s="9" t="inlineStr">
        <is>
          <t>FE-012</t>
        </is>
      </c>
      <c r="C17" s="8" t="inlineStr">
        <is>
          <t>整列</t>
        </is>
      </c>
      <c r="D17" s="12" t="inlineStr">
        <is>
          <t>せいれつ</t>
        </is>
      </c>
      <c r="E17" s="8" t="inlineStr">
        <is>
          <t>Sorting</t>
        </is>
      </c>
      <c r="F17" s="8" t="inlineStr">
        <is>
          <t>Thuật toán sắp xếp Sort (Chuyển đổi thứ tự phần tử tăng dần hoặc giảm dần)</t>
        </is>
      </c>
      <c r="G17" s="8" t="inlineStr">
        <is>
          <t>テクノロジ系 - 基礎理論</t>
        </is>
      </c>
      <c r="H17" s="9" t="inlineStr">
        <is>
          <t>⭐⭐⭐</t>
        </is>
      </c>
      <c r="I17" s="9" t="inlineStr">
        <is>
          <t>未</t>
        </is>
      </c>
      <c r="J17" s="8" t="inlineStr"/>
    </row>
    <row r="18">
      <c r="B18" s="9" t="inlineStr">
        <is>
          <t>FE-013</t>
        </is>
      </c>
      <c r="C18" s="8" t="inlineStr">
        <is>
          <t>クイックソート</t>
        </is>
      </c>
      <c r="D18" s="12" t="inlineStr">
        <is>
          <t>クイック・ソート</t>
        </is>
      </c>
      <c r="E18" s="8" t="inlineStr">
        <is>
          <t>Quick Sort</t>
        </is>
      </c>
      <c r="F18" s="8" t="inlineStr">
        <is>
          <t>Sắp xếp nhanh Quicksort (Chọn pivot phân hoạch, độ phức tạp trung bình O(n log n))</t>
        </is>
      </c>
      <c r="G18" s="8" t="inlineStr">
        <is>
          <t>テクノロジ系 - 基礎理論</t>
        </is>
      </c>
      <c r="H18" s="9" t="inlineStr">
        <is>
          <t>⭐⭐⭐</t>
        </is>
      </c>
      <c r="I18" s="9" t="inlineStr">
        <is>
          <t>未</t>
        </is>
      </c>
      <c r="J18" s="8" t="inlineStr"/>
    </row>
    <row r="19">
      <c r="B19" s="9" t="inlineStr">
        <is>
          <t>FE-014</t>
        </is>
      </c>
      <c r="C19" s="8" t="inlineStr">
        <is>
          <t>マージソート</t>
        </is>
      </c>
      <c r="D19" s="12" t="inlineStr">
        <is>
          <t>マージソート</t>
        </is>
      </c>
      <c r="E19" s="8" t="inlineStr">
        <is>
          <t>Merge Sort</t>
        </is>
      </c>
      <c r="F19" s="8" t="inlineStr">
        <is>
          <t>Sắp xếp trộn Merge sort (Chia để trị, ổn định stable sort, O(n log n))</t>
        </is>
      </c>
      <c r="G19" s="8" t="inlineStr">
        <is>
          <t>テクノロジ系 - 基礎理論</t>
        </is>
      </c>
      <c r="H19" s="9" t="inlineStr">
        <is>
          <t>⭐⭐</t>
        </is>
      </c>
      <c r="I19" s="9" t="inlineStr">
        <is>
          <t>未</t>
        </is>
      </c>
      <c r="J19" s="8" t="inlineStr"/>
    </row>
    <row r="20">
      <c r="B20" s="9" t="inlineStr">
        <is>
          <t>FE-015</t>
        </is>
      </c>
      <c r="C20" s="8" t="inlineStr">
        <is>
          <t>ヒープソート</t>
        </is>
      </c>
      <c r="D20" s="12" t="inlineStr">
        <is>
          <t>ヒープソート</t>
        </is>
      </c>
      <c r="E20" s="8" t="inlineStr">
        <is>
          <t>Heap Sort</t>
        </is>
      </c>
      <c r="F20" s="8" t="inlineStr">
        <is>
          <t>Sắp xếp vun đống Heapsort (Dựa trên cấu trúc cây nhị phân Heap, O(n log n))</t>
        </is>
      </c>
      <c r="G20" s="8" t="inlineStr">
        <is>
          <t>テクノロジ系 - 基礎理論</t>
        </is>
      </c>
      <c r="H20" s="9" t="inlineStr">
        <is>
          <t>⭐⭐</t>
        </is>
      </c>
      <c r="I20" s="9" t="inlineStr">
        <is>
          <t>未</t>
        </is>
      </c>
      <c r="J20" s="8" t="inlineStr"/>
    </row>
    <row r="21">
      <c r="B21" s="9" t="inlineStr">
        <is>
          <t>FE-016</t>
        </is>
      </c>
      <c r="C21" s="8" t="inlineStr">
        <is>
          <t>計算量</t>
        </is>
      </c>
      <c r="D21" s="12" t="inlineStr">
        <is>
          <t>計算量</t>
        </is>
      </c>
      <c r="E21" s="8" t="inlineStr">
        <is>
          <t>Computational Complexity (O-notation)</t>
        </is>
      </c>
      <c r="F21" s="8" t="inlineStr">
        <is>
          <t>Độ phức tạp tính toán (Độ phức tạp thời gian &amp; không gian ký hiệu Big-O)</t>
        </is>
      </c>
      <c r="G21" s="8" t="inlineStr">
        <is>
          <t>テクノロジ系 - 基礎理論</t>
        </is>
      </c>
      <c r="H21" s="9" t="inlineStr">
        <is>
          <t>⭐⭐⭐</t>
        </is>
      </c>
      <c r="I21" s="9" t="inlineStr">
        <is>
          <t>未</t>
        </is>
      </c>
      <c r="J21" s="8" t="inlineStr"/>
    </row>
    <row r="22">
      <c r="B22" s="9" t="inlineStr">
        <is>
          <t>FE-017</t>
        </is>
      </c>
      <c r="C22" s="8" t="inlineStr">
        <is>
          <t>論理演算</t>
        </is>
      </c>
      <c r="D22" s="12" t="inlineStr">
        <is>
          <t>ろんりえんざん</t>
        </is>
      </c>
      <c r="E22" s="8" t="inlineStr">
        <is>
          <t>Logical Operation (AND, OR, XOR)</t>
        </is>
      </c>
      <c r="F22" s="8" t="inlineStr">
        <is>
          <t>Phép toán logic (AND nhân logic, OR cộng logic, XOR loại trừ, NOT phủ định)</t>
        </is>
      </c>
      <c r="G22" s="8" t="inlineStr">
        <is>
          <t>テクノロジ系 - 基礎理論</t>
        </is>
      </c>
      <c r="H22" s="9" t="inlineStr">
        <is>
          <t>⭐⭐⭐</t>
        </is>
      </c>
      <c r="I22" s="9" t="inlineStr">
        <is>
          <t>未</t>
        </is>
      </c>
      <c r="J22" s="8" t="inlineStr"/>
    </row>
    <row r="23">
      <c r="B23" s="9" t="inlineStr">
        <is>
          <t>FE-018</t>
        </is>
      </c>
      <c r="C23" s="8" t="inlineStr">
        <is>
          <t>基数変換</t>
        </is>
      </c>
      <c r="D23" s="12" t="inlineStr">
        <is>
          <t>基数変換</t>
        </is>
      </c>
      <c r="E23" s="8" t="inlineStr">
        <is>
          <t>Radix Conversion (2, 8, 10, 16진)</t>
        </is>
      </c>
      <c r="F23" s="8" t="inlineStr">
        <is>
          <t>Chuyển đổi cơ số (Hệ 2 nhị phân, hệ 10 thập phân, hệ 16 thập lục phân)</t>
        </is>
      </c>
      <c r="G23" s="8" t="inlineStr">
        <is>
          <t>テクノロジ系 - 基礎理論</t>
        </is>
      </c>
      <c r="H23" s="9" t="inlineStr">
        <is>
          <t>⭐⭐⭐</t>
        </is>
      </c>
      <c r="I23" s="9" t="inlineStr">
        <is>
          <t>未</t>
        </is>
      </c>
      <c r="J23" s="8" t="inlineStr"/>
    </row>
    <row r="24">
      <c r="B24" s="9" t="inlineStr">
        <is>
          <t>FE-019</t>
        </is>
      </c>
      <c r="C24" s="8" t="inlineStr">
        <is>
          <t>補数</t>
        </is>
      </c>
      <c r="D24" s="12" t="inlineStr">
        <is>
          <t>ほすう</t>
        </is>
      </c>
      <c r="E24" s="8" t="inlineStr">
        <is>
          <t>Complement (2's complement)</t>
        </is>
      </c>
      <c r="F24" s="8" t="inlineStr">
        <is>
          <t>Số bù (Số bù 2 dùng để biểu diễn số âm trong hệ nhị phân)</t>
        </is>
      </c>
      <c r="G24" s="8" t="inlineStr">
        <is>
          <t>テクノロジ系 - 基礎理論</t>
        </is>
      </c>
      <c r="H24" s="9" t="inlineStr">
        <is>
          <t>⭐⭐⭐</t>
        </is>
      </c>
      <c r="I24" s="9" t="inlineStr">
        <is>
          <t>未</t>
        </is>
      </c>
      <c r="J24" s="8" t="inlineStr"/>
    </row>
    <row r="25">
      <c r="B25" s="9" t="inlineStr">
        <is>
          <t>FE-020</t>
        </is>
      </c>
      <c r="C25" s="8" t="inlineStr">
        <is>
          <t>浮動小数点</t>
        </is>
      </c>
      <c r="D25" s="12" t="inlineStr">
        <is>
          <t>ふどうしょうすうてん</t>
        </is>
      </c>
      <c r="E25" s="8" t="inlineStr">
        <is>
          <t>Floating Point</t>
        </is>
      </c>
      <c r="F25" s="8" t="inlineStr">
        <is>
          <t>Số thực dấu phẩy động (Tiêu chuẩn IEEE 754: Dấu Sign, Phần mũ Exponent, Phần định trị Mantissa)</t>
        </is>
      </c>
      <c r="G25" s="8" t="inlineStr">
        <is>
          <t>テクノロジ系 - 基礎理論</t>
        </is>
      </c>
      <c r="H25" s="9" t="inlineStr">
        <is>
          <t>⭐⭐</t>
        </is>
      </c>
      <c r="I25" s="9" t="inlineStr">
        <is>
          <t>未</t>
        </is>
      </c>
      <c r="J25" s="8" t="inlineStr"/>
    </row>
    <row r="26">
      <c r="B26" s="9" t="inlineStr">
        <is>
          <t>FE-021</t>
        </is>
      </c>
      <c r="C26" s="8" t="inlineStr">
        <is>
          <t>主記憶</t>
        </is>
      </c>
      <c r="D26" s="12" t="inlineStr">
        <is>
          <t>しゅきおく</t>
        </is>
      </c>
      <c r="E26" s="8" t="inlineStr">
        <is>
          <t>Main Memory (RAM)</t>
        </is>
      </c>
      <c r="F26" s="8" t="inlineStr">
        <is>
          <t>Bộ nhớ chính RAM (Lưu trữ chương trình và dữ liệu đang thực thi)</t>
        </is>
      </c>
      <c r="G26" s="8" t="inlineStr">
        <is>
          <t>テクノロジ系 - システム構成</t>
        </is>
      </c>
      <c r="H26" s="9" t="inlineStr">
        <is>
          <t>⭐⭐⭐</t>
        </is>
      </c>
      <c r="I26" s="9" t="inlineStr">
        <is>
          <t>未</t>
        </is>
      </c>
      <c r="J26" s="8" t="inlineStr"/>
    </row>
    <row r="27">
      <c r="B27" s="9" t="inlineStr">
        <is>
          <t>FE-022</t>
        </is>
      </c>
      <c r="C27" s="8" t="inlineStr">
        <is>
          <t>補助記憶</t>
        </is>
      </c>
      <c r="D27" s="12" t="inlineStr">
        <is>
          <t>ほじょきおく</t>
        </is>
      </c>
      <c r="E27" s="8" t="inlineStr">
        <is>
          <t>Secondary Storage</t>
        </is>
      </c>
      <c r="F27" s="8" t="inlineStr">
        <is>
          <t>Bộ nhớ phụ (Ổ cứng SSD, HDD lưu trữ dữ liệu lâu dài không mất điện)</t>
        </is>
      </c>
      <c r="G27" s="8" t="inlineStr">
        <is>
          <t>テクノロジ系 - システム構成</t>
        </is>
      </c>
      <c r="H27" s="9" t="inlineStr">
        <is>
          <t>⭐⭐</t>
        </is>
      </c>
      <c r="I27" s="9" t="inlineStr">
        <is>
          <t>未</t>
        </is>
      </c>
      <c r="J27" s="8" t="inlineStr"/>
    </row>
    <row r="28">
      <c r="B28" s="9" t="inlineStr">
        <is>
          <t>FE-023</t>
        </is>
      </c>
      <c r="C28" s="8" t="inlineStr">
        <is>
          <t>キャッシュメモリ</t>
        </is>
      </c>
      <c r="D28" s="12" t="inlineStr">
        <is>
          <t>キャッシュメモリー キャッシュ・メモリ キャッシュ・メモリー</t>
        </is>
      </c>
      <c r="E28" s="8" t="inlineStr">
        <is>
          <t>Cache Memory</t>
        </is>
      </c>
      <c r="F28" s="8" t="inlineStr">
        <is>
          <t>Bộ nhớ đệm Cache (SRAM tốc độ cao giữa CPU và RAM giảm độ trễ)</t>
        </is>
      </c>
      <c r="G28" s="8" t="inlineStr">
        <is>
          <t>テクノロジ系 - システム構成</t>
        </is>
      </c>
      <c r="H28" s="9" t="inlineStr">
        <is>
          <t>⭐⭐⭐</t>
        </is>
      </c>
      <c r="I28" s="9" t="inlineStr">
        <is>
          <t>未</t>
        </is>
      </c>
      <c r="J28" s="8" t="inlineStr"/>
    </row>
    <row r="29">
      <c r="B29" s="9" t="inlineStr">
        <is>
          <t>FE-024</t>
        </is>
      </c>
      <c r="C29" s="8" t="inlineStr">
        <is>
          <t>仮想記憶</t>
        </is>
      </c>
      <c r="D29" s="12" t="inlineStr">
        <is>
          <t>かそうきおく</t>
        </is>
      </c>
      <c r="E29" s="8" t="inlineStr">
        <is>
          <t>Virtual Memory</t>
        </is>
      </c>
      <c r="F29" s="8" t="inlineStr">
        <is>
          <t>Bộ nhớ ảo Virtual Memory (Mở rộng không gian địa chỉ RAM ra ổ đĩa phụ)</t>
        </is>
      </c>
      <c r="G29" s="8" t="inlineStr">
        <is>
          <t>テクノロジ系 - システム構成</t>
        </is>
      </c>
      <c r="H29" s="9" t="inlineStr">
        <is>
          <t>⭐⭐⭐</t>
        </is>
      </c>
      <c r="I29" s="9" t="inlineStr">
        <is>
          <t>未</t>
        </is>
      </c>
      <c r="J29" s="8" t="inlineStr"/>
    </row>
    <row r="30">
      <c r="B30" s="9" t="inlineStr">
        <is>
          <t>FE-025</t>
        </is>
      </c>
      <c r="C30" s="8" t="inlineStr">
        <is>
          <t>ページング</t>
        </is>
      </c>
      <c r="D30" s="12" t="inlineStr">
        <is>
          <t>ページング</t>
        </is>
      </c>
      <c r="E30" s="8" t="inlineStr">
        <is>
          <t>Paging</t>
        </is>
      </c>
      <c r="F30" s="8" t="inlineStr">
        <is>
          <t>Phân trang Paging (Chia bộ nhớ ảo thành các trang page có kích thước cố định)</t>
        </is>
      </c>
      <c r="G30" s="8" t="inlineStr">
        <is>
          <t>テクノロジ系 - システム構成</t>
        </is>
      </c>
      <c r="H30" s="9" t="inlineStr">
        <is>
          <t>⭐⭐⭐</t>
        </is>
      </c>
      <c r="I30" s="9" t="inlineStr">
        <is>
          <t>未</t>
        </is>
      </c>
      <c r="J30" s="8" t="inlineStr"/>
    </row>
    <row r="31">
      <c r="B31" s="9" t="inlineStr">
        <is>
          <t>FE-026</t>
        </is>
      </c>
      <c r="C31" s="8" t="inlineStr">
        <is>
          <t>スワッピング</t>
        </is>
      </c>
      <c r="D31" s="12" t="inlineStr">
        <is>
          <t>スワッピング</t>
        </is>
      </c>
      <c r="E31" s="8" t="inlineStr">
        <is>
          <t>Swapping</t>
        </is>
      </c>
      <c r="F31" s="8" t="inlineStr">
        <is>
          <t>Hoán đổi Swapping (Chuyển tiến trình từ RAM ra bộ nhớ phụ khi thiếu bộ nhớ)</t>
        </is>
      </c>
      <c r="G31" s="8" t="inlineStr">
        <is>
          <t>テクノロジ系 - システム構成</t>
        </is>
      </c>
      <c r="H31" s="9" t="inlineStr">
        <is>
          <t>⭐⭐</t>
        </is>
      </c>
      <c r="I31" s="9" t="inlineStr">
        <is>
          <t>未</t>
        </is>
      </c>
      <c r="J31" s="8" t="inlineStr"/>
    </row>
    <row r="32">
      <c r="B32" s="9" t="inlineStr">
        <is>
          <t>FE-027</t>
        </is>
      </c>
      <c r="C32" s="8" t="inlineStr">
        <is>
          <t>割り込み</t>
        </is>
      </c>
      <c r="D32" s="12" t="inlineStr">
        <is>
          <t>わりこみ</t>
        </is>
      </c>
      <c r="E32" s="8" t="inlineStr">
        <is>
          <t>Interrupt</t>
        </is>
      </c>
      <c r="F32" s="8" t="inlineStr">
        <is>
          <t>Ngắt Interrupt (Ngắt phần cứng ngoại vi và ngắt mềm từ chương trình)</t>
        </is>
      </c>
      <c r="G32" s="8" t="inlineStr">
        <is>
          <t>テクノロジ系 - システム構成</t>
        </is>
      </c>
      <c r="H32" s="9" t="inlineStr">
        <is>
          <t>⭐⭐⭐</t>
        </is>
      </c>
      <c r="I32" s="9" t="inlineStr">
        <is>
          <t>未</t>
        </is>
      </c>
      <c r="J32" s="8" t="inlineStr"/>
    </row>
    <row r="33">
      <c r="B33" s="9" t="inlineStr">
        <is>
          <t>FE-028</t>
        </is>
      </c>
      <c r="C33" s="8" t="inlineStr">
        <is>
          <t>パイプライン</t>
        </is>
      </c>
      <c r="D33" s="12" t="inlineStr">
        <is>
          <t>パイプライン</t>
        </is>
      </c>
      <c r="E33" s="8" t="inlineStr">
        <is>
          <t>Pipelining</t>
        </is>
      </c>
      <c r="F33" s="8" t="inlineStr">
        <is>
          <t>Đường ống lệnh Pipelining (Thực thi gối đầu các giai đoạn Fetch, Decode, Execute)</t>
        </is>
      </c>
      <c r="G33" s="8" t="inlineStr">
        <is>
          <t>テクノロジ系 - システム構成</t>
        </is>
      </c>
      <c r="H33" s="9" t="inlineStr">
        <is>
          <t>⭐⭐⭐</t>
        </is>
      </c>
      <c r="I33" s="9" t="inlineStr">
        <is>
          <t>未</t>
        </is>
      </c>
      <c r="J33" s="8" t="inlineStr"/>
    </row>
    <row r="34">
      <c r="B34" s="9" t="inlineStr">
        <is>
          <t>FE-029</t>
        </is>
      </c>
      <c r="C34" s="8" t="inlineStr">
        <is>
          <t>排他制御</t>
        </is>
      </c>
      <c r="D34" s="12" t="inlineStr">
        <is>
          <t>はいたせいぎょ</t>
        </is>
      </c>
      <c r="E34" s="8" t="inlineStr">
        <is>
          <t>Exclusive Control / Mutual Exclusion</t>
        </is>
      </c>
      <c r="F34" s="8" t="inlineStr">
        <is>
          <t>Kiểm soát độc quyền Mutex/Lock (Ngăn chặn tranh chấp tài nguyên chia sẻ Race Condition)</t>
        </is>
      </c>
      <c r="G34" s="8" t="inlineStr">
        <is>
          <t>テクノロジ系 - システム構成</t>
        </is>
      </c>
      <c r="H34" s="9" t="inlineStr">
        <is>
          <t>⭐⭐⭐</t>
        </is>
      </c>
      <c r="I34" s="9" t="inlineStr">
        <is>
          <t>未</t>
        </is>
      </c>
      <c r="J34" s="8" t="inlineStr"/>
    </row>
    <row r="35">
      <c r="B35" s="9" t="inlineStr">
        <is>
          <t>FE-030</t>
        </is>
      </c>
      <c r="C35" s="8" t="inlineStr">
        <is>
          <t>デッドロック</t>
        </is>
      </c>
      <c r="D35" s="12" t="inlineStr">
        <is>
          <t>デッドロック</t>
        </is>
      </c>
      <c r="E35" s="8" t="inlineStr">
        <is>
          <t>Deadlock</t>
        </is>
      </c>
      <c r="F35" s="8" t="inlineStr">
        <is>
          <t>Khoá chết Deadlock (Hai hay nhiều tiến trình chờ tài nguyên lẫn nhau vô tận)</t>
        </is>
      </c>
      <c r="G35" s="8" t="inlineStr">
        <is>
          <t>テクノロジ系 - システム構成</t>
        </is>
      </c>
      <c r="H35" s="9" t="inlineStr">
        <is>
          <t>⭐⭐⭐</t>
        </is>
      </c>
      <c r="I35" s="9" t="inlineStr">
        <is>
          <t>未</t>
        </is>
      </c>
      <c r="J35" s="8" t="inlineStr"/>
    </row>
    <row r="36">
      <c r="B36" s="9" t="inlineStr">
        <is>
          <t>FE-031</t>
        </is>
      </c>
      <c r="C36" s="8" t="inlineStr">
        <is>
          <t>スループット</t>
        </is>
      </c>
      <c r="D36" s="12" t="inlineStr">
        <is>
          <t>スループット</t>
        </is>
      </c>
      <c r="E36" s="8" t="inlineStr">
        <is>
          <t>Throughput</t>
        </is>
      </c>
      <c r="F36" s="8" t="inlineStr">
        <is>
          <t>Thông lượng Throughput (Khối lượng công việc xử lý được trên một đơn vị thời gian)</t>
        </is>
      </c>
      <c r="G36" s="8" t="inlineStr">
        <is>
          <t>テクノロジ系 - システム構成</t>
        </is>
      </c>
      <c r="H36" s="9" t="inlineStr">
        <is>
          <t>⭐⭐⭐</t>
        </is>
      </c>
      <c r="I36" s="9" t="inlineStr">
        <is>
          <t>未</t>
        </is>
      </c>
      <c r="J36" s="8" t="inlineStr"/>
    </row>
    <row r="37">
      <c r="B37" s="9" t="inlineStr">
        <is>
          <t>FE-032</t>
        </is>
      </c>
      <c r="C37" s="8" t="inlineStr">
        <is>
          <t>ターンアラウンドタイム</t>
        </is>
      </c>
      <c r="D37" s="12" t="inlineStr">
        <is>
          <t>ターンアラウンド・タイム</t>
        </is>
      </c>
      <c r="E37" s="8" t="inlineStr">
        <is>
          <t>Turnaround Time</t>
        </is>
      </c>
      <c r="F37" s="8" t="inlineStr">
        <is>
          <t>turnaround time</t>
        </is>
      </c>
      <c r="G37" s="8" t="inlineStr">
        <is>
          <t>テクノロジ系 - システム構成</t>
        </is>
      </c>
      <c r="H37" s="9" t="inlineStr">
        <is>
          <t>⭐⭐</t>
        </is>
      </c>
      <c r="I37" s="9" t="inlineStr">
        <is>
          <t>未</t>
        </is>
      </c>
      <c r="J37" s="8" t="inlineStr"/>
    </row>
    <row r="38">
      <c r="B38" s="9" t="inlineStr">
        <is>
          <t>FE-033</t>
        </is>
      </c>
      <c r="C38" s="8" t="inlineStr">
        <is>
          <t>稼働率</t>
        </is>
      </c>
      <c r="D38" s="12" t="inlineStr">
        <is>
          <t>かどうりつ</t>
        </is>
      </c>
      <c r="E38" s="8" t="inlineStr">
        <is>
          <t>Availability / Uptime Rate (MTBF / MTBF+MTTR)</t>
        </is>
      </c>
      <c r="F38" s="8" t="inlineStr">
        <is>
          <t>Độ khả dụng / Tỷ lệ hoạt động (Công thức: MTBF / (MTBF + MTTR))</t>
        </is>
      </c>
      <c r="G38" s="8" t="inlineStr">
        <is>
          <t>テクノロジ系 - システム構成</t>
        </is>
      </c>
      <c r="H38" s="9" t="inlineStr">
        <is>
          <t>⭐⭐⭐</t>
        </is>
      </c>
      <c r="I38" s="9" t="inlineStr">
        <is>
          <t>未</t>
        </is>
      </c>
      <c r="J38" s="8" t="inlineStr"/>
    </row>
    <row r="39">
      <c r="B39" s="9" t="inlineStr">
        <is>
          <t>FE-034</t>
        </is>
      </c>
      <c r="C39" s="8" t="inlineStr">
        <is>
          <t>平均故障間隔</t>
        </is>
      </c>
      <c r="D39" s="12" t="inlineStr">
        <is>
          <t>へいきんこしょうかんかく</t>
        </is>
      </c>
      <c r="E39" s="8" t="inlineStr">
        <is>
          <t>MTBF (Mean Time Between Failures)</t>
        </is>
      </c>
      <c r="F39" s="8" t="inlineStr">
        <is>
          <t>MTBF (Thời gian trung bình giữa 2 lần xảy ra sự cố hỏng hóc)</t>
        </is>
      </c>
      <c r="G39" s="8" t="inlineStr">
        <is>
          <t>テクノロジ系 - システム構成</t>
        </is>
      </c>
      <c r="H39" s="9" t="inlineStr">
        <is>
          <t>⭐⭐⭐</t>
        </is>
      </c>
      <c r="I39" s="9" t="inlineStr">
        <is>
          <t>未</t>
        </is>
      </c>
      <c r="J39" s="8" t="inlineStr"/>
    </row>
    <row r="40">
      <c r="B40" s="9" t="inlineStr">
        <is>
          <t>FE-035</t>
        </is>
      </c>
      <c r="C40" s="8" t="inlineStr">
        <is>
          <t>平均修復時間</t>
        </is>
      </c>
      <c r="D40" s="12" t="inlineStr">
        <is>
          <t>へいきんしゅうふくじかん</t>
        </is>
      </c>
      <c r="E40" s="8" t="inlineStr">
        <is>
          <t>MTTR (Mean Time To Repair)</t>
        </is>
      </c>
      <c r="F40" s="8" t="inlineStr">
        <is>
          <t>MTTR (Thời gian trung bình để sửa chữa khắc phục sự cố xong)</t>
        </is>
      </c>
      <c r="G40" s="8" t="inlineStr">
        <is>
          <t>テクノロジ系 - システム構成</t>
        </is>
      </c>
      <c r="H40" s="9" t="inlineStr">
        <is>
          <t>⭐⭐⭐</t>
        </is>
      </c>
      <c r="I40" s="9" t="inlineStr">
        <is>
          <t>未</t>
        </is>
      </c>
      <c r="J40" s="8" t="inlineStr"/>
    </row>
    <row r="41">
      <c r="B41" s="9" t="inlineStr">
        <is>
          <t>FE-036</t>
        </is>
      </c>
      <c r="C41" s="8" t="inlineStr">
        <is>
          <t>デュアルシステム</t>
        </is>
      </c>
      <c r="D41" s="12" t="inlineStr">
        <is>
          <t>デュアル・システム</t>
        </is>
      </c>
      <c r="E41" s="8" t="inlineStr">
        <is>
          <t>Dual System</t>
        </is>
      </c>
      <c r="F41" s="8" t="inlineStr">
        <is>
          <t>Hệ thống kép Dual System (2 máy chạy song song đối chiếu kết quả)</t>
        </is>
      </c>
      <c r="G41" s="8" t="inlineStr">
        <is>
          <t>テクノロジ系 - システム構成</t>
        </is>
      </c>
      <c r="H41" s="9" t="inlineStr">
        <is>
          <t>⭐⭐⭐</t>
        </is>
      </c>
      <c r="I41" s="9" t="inlineStr">
        <is>
          <t>未</t>
        </is>
      </c>
      <c r="J41" s="8" t="inlineStr"/>
    </row>
    <row r="42">
      <c r="B42" s="9" t="inlineStr">
        <is>
          <t>FE-037</t>
        </is>
      </c>
      <c r="C42" s="8" t="inlineStr">
        <is>
          <t>デュプレックスシステム</t>
        </is>
      </c>
      <c r="D42" s="12" t="inlineStr">
        <is>
          <t>デュプレックスシステム</t>
        </is>
      </c>
      <c r="E42" s="8" t="inlineStr">
        <is>
          <t>Duplex System</t>
        </is>
      </c>
      <c r="F42" s="8" t="inlineStr">
        <is>
          <t>Hệ thống dự phòng Duplex System (1 máy chính Active, 1 máy Standby chờ sẵn)</t>
        </is>
      </c>
      <c r="G42" s="8" t="inlineStr">
        <is>
          <t>テクノロジ系 - システム構成</t>
        </is>
      </c>
      <c r="H42" s="9" t="inlineStr">
        <is>
          <t>⭐⭐⭐</t>
        </is>
      </c>
      <c r="I42" s="9" t="inlineStr">
        <is>
          <t>未</t>
        </is>
      </c>
      <c r="J42" s="8" t="inlineStr"/>
    </row>
    <row r="43">
      <c r="B43" s="9" t="inlineStr">
        <is>
          <t>FE-038</t>
        </is>
      </c>
      <c r="C43" s="8" t="inlineStr">
        <is>
          <t>RAID</t>
        </is>
      </c>
      <c r="D43" s="12" t="inlineStr">
        <is>
          <t>RAID</t>
        </is>
      </c>
      <c r="E43" s="8" t="inlineStr">
        <is>
          <t>RAID (Redundant Array of Inexpensive Disks)</t>
        </is>
      </c>
      <c r="F43" s="8" t="inlineStr">
        <is>
          <t>Dàn đĩa RAID (RAID 0 phân dải, RAID 1 sao lưu gương, RAID 5 phân tán chẵn lẻ)</t>
        </is>
      </c>
      <c r="G43" s="8" t="inlineStr">
        <is>
          <t>テクノロジ系 - システム構成</t>
        </is>
      </c>
      <c r="H43" s="9" t="inlineStr">
        <is>
          <t>⭐⭐⭐</t>
        </is>
      </c>
      <c r="I43" s="9" t="inlineStr">
        <is>
          <t>未</t>
        </is>
      </c>
      <c r="J43" s="8" t="inlineStr"/>
    </row>
    <row r="44">
      <c r="B44" s="9" t="inlineStr">
        <is>
          <t>FE-039</t>
        </is>
      </c>
      <c r="C44" s="8" t="inlineStr">
        <is>
          <t>関係データベース</t>
        </is>
      </c>
      <c r="D44" s="12" t="inlineStr">
        <is>
          <t>関係データベース</t>
        </is>
      </c>
      <c r="E44" s="8" t="inlineStr">
        <is>
          <t>Relational Database (RDB)</t>
        </is>
      </c>
      <c r="F44" s="8" t="inlineStr">
        <is>
          <t>Cơ sở dữ liệu quan hệ RDBMS (Dữ liệu tổ chức thành các bảng gồm hàng và cột)</t>
        </is>
      </c>
      <c r="G44" s="8" t="inlineStr">
        <is>
          <t>テクノロジ系 - データベース</t>
        </is>
      </c>
      <c r="H44" s="9" t="inlineStr">
        <is>
          <t>⭐⭐⭐</t>
        </is>
      </c>
      <c r="I44" s="9" t="inlineStr">
        <is>
          <t>未</t>
        </is>
      </c>
      <c r="J44" s="8" t="inlineStr"/>
    </row>
    <row r="45">
      <c r="B45" s="9" t="inlineStr">
        <is>
          <t>FE-040</t>
        </is>
      </c>
      <c r="C45" s="8" t="inlineStr">
        <is>
          <t>主キー</t>
        </is>
      </c>
      <c r="D45" s="12" t="inlineStr">
        <is>
          <t>しゅキー</t>
        </is>
      </c>
      <c r="E45" s="8" t="inlineStr">
        <is>
          <t>Primary Key</t>
        </is>
      </c>
      <c r="F45" s="8" t="inlineStr">
        <is>
          <t>Khóa chính Primary Key (Định danh duy nhất một bản ghi trong bảng, không null)</t>
        </is>
      </c>
      <c r="G45" s="8" t="inlineStr">
        <is>
          <t>テクノロジ系 - データベース</t>
        </is>
      </c>
      <c r="H45" s="9" t="inlineStr">
        <is>
          <t>⭐⭐⭐</t>
        </is>
      </c>
      <c r="I45" s="9" t="inlineStr">
        <is>
          <t>未</t>
        </is>
      </c>
      <c r="J45" s="8" t="inlineStr"/>
    </row>
    <row r="46">
      <c r="B46" s="9" t="inlineStr">
        <is>
          <t>FE-041</t>
        </is>
      </c>
      <c r="C46" s="8" t="inlineStr">
        <is>
          <t>外部キー</t>
        </is>
      </c>
      <c r="D46" s="12" t="inlineStr">
        <is>
          <t>がいぶキー</t>
        </is>
      </c>
      <c r="E46" s="8" t="inlineStr">
        <is>
          <t>Foreign Key</t>
        </is>
      </c>
      <c r="F46" s="8" t="inlineStr">
        <is>
          <t>Khóa ngoại Foreign Key (Khóa tham chiếu đến khóa chính của bảng khác đảm bảo toàn vẹn)</t>
        </is>
      </c>
      <c r="G46" s="8" t="inlineStr">
        <is>
          <t>テクノロジ系 - データベース</t>
        </is>
      </c>
      <c r="H46" s="9" t="inlineStr">
        <is>
          <t>⭐⭐⭐</t>
        </is>
      </c>
      <c r="I46" s="9" t="inlineStr">
        <is>
          <t>未</t>
        </is>
      </c>
      <c r="J46" s="8" t="inlineStr"/>
    </row>
    <row r="47">
      <c r="B47" s="9" t="inlineStr">
        <is>
          <t>FE-042</t>
        </is>
      </c>
      <c r="C47" s="8" t="inlineStr">
        <is>
          <t>正規化</t>
        </is>
      </c>
      <c r="D47" s="12" t="inlineStr">
        <is>
          <t>せいきか</t>
        </is>
      </c>
      <c r="E47" s="8" t="inlineStr">
        <is>
          <t>Normalization (1NF, 2NF, 3NF)</t>
        </is>
      </c>
      <c r="F47" s="8" t="inlineStr">
        <is>
          <t>Chuẩn hóa dữ liệu Normalization (Giảm thiểu dư thừa, tránh dị thường bất thường 1NF, 2NF, 3NF)</t>
        </is>
      </c>
      <c r="G47" s="8" t="inlineStr">
        <is>
          <t>テクノロジ系 - データベース</t>
        </is>
      </c>
      <c r="H47" s="9" t="inlineStr">
        <is>
          <t>⭐⭐⭐</t>
        </is>
      </c>
      <c r="I47" s="9" t="inlineStr">
        <is>
          <t>未</t>
        </is>
      </c>
      <c r="J47" s="8" t="inlineStr"/>
    </row>
    <row r="48">
      <c r="B48" s="9" t="inlineStr">
        <is>
          <t>FE-043</t>
        </is>
      </c>
      <c r="C48" s="8" t="inlineStr">
        <is>
          <t>トランザクション</t>
        </is>
      </c>
      <c r="D48" s="12" t="inlineStr">
        <is>
          <t>トランザクション</t>
        </is>
      </c>
      <c r="E48" s="8" t="inlineStr">
        <is>
          <t>Transaction (ACID properties)</t>
        </is>
      </c>
      <c r="F48" s="8" t="inlineStr">
        <is>
          <t>Giao dịch Transaction (Bảo đảm 4 tính chất ACID: Nguyên tử, Nhất quán, Cô lập, Bền vững)</t>
        </is>
      </c>
      <c r="G48" s="8" t="inlineStr">
        <is>
          <t>テクノロジ系 - データベース</t>
        </is>
      </c>
      <c r="H48" s="9" t="inlineStr">
        <is>
          <t>⭐⭐⭐</t>
        </is>
      </c>
      <c r="I48" s="9" t="inlineStr">
        <is>
          <t>未</t>
        </is>
      </c>
      <c r="J48" s="8" t="inlineStr"/>
    </row>
    <row r="49">
      <c r="B49" s="9" t="inlineStr">
        <is>
          <t>FE-044</t>
        </is>
      </c>
      <c r="C49" s="8" t="inlineStr">
        <is>
          <t>コミット</t>
        </is>
      </c>
      <c r="D49" s="12" t="inlineStr">
        <is>
          <t>コミット</t>
        </is>
      </c>
      <c r="E49" s="8" t="inlineStr">
        <is>
          <t>Commit</t>
        </is>
      </c>
      <c r="F49" s="8" t="inlineStr">
        <is>
          <t>Commit (Xác nhận lưu vĩnh viễn các thay đổi của giao dịch vào CSDL)</t>
        </is>
      </c>
      <c r="G49" s="8" t="inlineStr">
        <is>
          <t>テクノロジ系 - データベース</t>
        </is>
      </c>
      <c r="H49" s="9" t="inlineStr">
        <is>
          <t>⭐⭐⭐</t>
        </is>
      </c>
      <c r="I49" s="9" t="inlineStr">
        <is>
          <t>未</t>
        </is>
      </c>
      <c r="J49" s="8" t="inlineStr"/>
    </row>
    <row r="50">
      <c r="B50" s="9" t="inlineStr">
        <is>
          <t>FE-045</t>
        </is>
      </c>
      <c r="C50" s="8" t="inlineStr">
        <is>
          <t>ロールバック</t>
        </is>
      </c>
      <c r="D50" s="12" t="inlineStr">
        <is>
          <t>ロール・バック</t>
        </is>
      </c>
      <c r="E50" s="8" t="inlineStr">
        <is>
          <t>Rollback</t>
        </is>
      </c>
      <c r="F50" s="8" t="inlineStr">
        <is>
          <t>Rollback (Hủy bỏ giao dịch và khôi phục trạng thái CSDL về trước khi xảy ra lỗi)</t>
        </is>
      </c>
      <c r="G50" s="8" t="inlineStr">
        <is>
          <t>テクノロジ系 - データベース</t>
        </is>
      </c>
      <c r="H50" s="9" t="inlineStr">
        <is>
          <t>⭐⭐⭐</t>
        </is>
      </c>
      <c r="I50" s="9" t="inlineStr">
        <is>
          <t>未</t>
        </is>
      </c>
      <c r="J50" s="8" t="inlineStr"/>
    </row>
    <row r="51">
      <c r="B51" s="9" t="inlineStr">
        <is>
          <t>FE-046</t>
        </is>
      </c>
      <c r="C51" s="8" t="inlineStr">
        <is>
          <t>インデックス</t>
        </is>
      </c>
      <c r="D51" s="12" t="inlineStr">
        <is>
          <t>インデックス</t>
        </is>
      </c>
      <c r="E51" s="8" t="inlineStr">
        <is>
          <t>Index</t>
        </is>
      </c>
      <c r="F51" s="8" t="inlineStr">
        <is>
          <t>mục lục</t>
        </is>
      </c>
      <c r="G51" s="8" t="inlineStr">
        <is>
          <t>テクノロジ系 - データベース</t>
        </is>
      </c>
      <c r="H51" s="9" t="inlineStr">
        <is>
          <t>⭐⭐</t>
        </is>
      </c>
      <c r="I51" s="9" t="inlineStr">
        <is>
          <t>未</t>
        </is>
      </c>
      <c r="J51" s="8" t="inlineStr"/>
    </row>
    <row r="52">
      <c r="B52" s="9" t="inlineStr">
        <is>
          <t>FE-047</t>
        </is>
      </c>
      <c r="C52" s="8" t="inlineStr">
        <is>
          <t>サブネットマスク</t>
        </is>
      </c>
      <c r="D52" s="12" t="inlineStr">
        <is>
          <t>サブネット・マスク</t>
        </is>
      </c>
      <c r="E52" s="8" t="inlineStr">
        <is>
          <t>Subnet Mask</t>
        </is>
      </c>
      <c r="F52" s="8" t="inlineStr">
        <is>
          <t>Subnet Mask (Tách địa chỉ IP thành phần mạng Network ID và phần máy Host ID)</t>
        </is>
      </c>
      <c r="G52" s="8" t="inlineStr">
        <is>
          <t>テクノロジ系 - ネットワーク</t>
        </is>
      </c>
      <c r="H52" s="9" t="inlineStr">
        <is>
          <t>⭐⭐⭐</t>
        </is>
      </c>
      <c r="I52" s="9" t="inlineStr">
        <is>
          <t>未</t>
        </is>
      </c>
      <c r="J52" s="8" t="inlineStr"/>
    </row>
    <row r="53">
      <c r="B53" s="9" t="inlineStr">
        <is>
          <t>FE-048</t>
        </is>
      </c>
      <c r="C53" s="8" t="inlineStr">
        <is>
          <t>デフォルトゲートウェイ</t>
        </is>
      </c>
      <c r="D53" s="12" t="inlineStr">
        <is>
          <t>デフォルト・ゲートウェイ</t>
        </is>
      </c>
      <c r="E53" s="8" t="inlineStr">
        <is>
          <t>Default Gateway</t>
        </is>
      </c>
      <c r="F53" s="8" t="inlineStr">
        <is>
          <t>Cổng mặc định Default Gateway (Router chuyển tiếp gói tin ra ngoài mạng nội bộ)</t>
        </is>
      </c>
      <c r="G53" s="8" t="inlineStr">
        <is>
          <t>テクノロジ系 - ネットワーク</t>
        </is>
      </c>
      <c r="H53" s="9" t="inlineStr">
        <is>
          <t>⭐⭐⭐</t>
        </is>
      </c>
      <c r="I53" s="9" t="inlineStr">
        <is>
          <t>未</t>
        </is>
      </c>
      <c r="J53" s="8" t="inlineStr"/>
    </row>
    <row r="54">
      <c r="B54" s="9" t="inlineStr">
        <is>
          <t>FE-049</t>
        </is>
      </c>
      <c r="C54" s="8" t="inlineStr">
        <is>
          <t>ルーティング</t>
        </is>
      </c>
      <c r="D54" s="12" t="inlineStr">
        <is>
          <t>ルーティング</t>
        </is>
      </c>
      <c r="E54" s="8" t="inlineStr">
        <is>
          <t>Routing</t>
        </is>
      </c>
      <c r="F54" s="8" t="inlineStr">
        <is>
          <t>routing</t>
        </is>
      </c>
      <c r="G54" s="8" t="inlineStr">
        <is>
          <t>テクノロジ系 - ネットワーク</t>
        </is>
      </c>
      <c r="H54" s="9" t="inlineStr">
        <is>
          <t>⭐⭐⭐</t>
        </is>
      </c>
      <c r="I54" s="9" t="inlineStr">
        <is>
          <t>未</t>
        </is>
      </c>
      <c r="J54" s="8" t="inlineStr"/>
    </row>
    <row r="55">
      <c r="B55" s="9" t="inlineStr">
        <is>
          <t>FE-050</t>
        </is>
      </c>
      <c r="C55" s="8" t="inlineStr">
        <is>
          <t>DNS</t>
        </is>
      </c>
      <c r="D55" s="12" t="inlineStr">
        <is>
          <t>DNS</t>
        </is>
      </c>
      <c r="E55" s="8" t="inlineStr">
        <is>
          <t>Domain Name System</t>
        </is>
      </c>
      <c r="F55" s="8" t="inlineStr">
        <is>
          <t>Hệ thống phân giải tên miền DNS (Chuyển đổi Domain name sang IP address)</t>
        </is>
      </c>
      <c r="G55" s="8" t="inlineStr">
        <is>
          <t>テクノロジ系 - ネットワーク</t>
        </is>
      </c>
      <c r="H55" s="9" t="inlineStr">
        <is>
          <t>⭐⭐⭐</t>
        </is>
      </c>
      <c r="I55" s="9" t="inlineStr">
        <is>
          <t>未</t>
        </is>
      </c>
      <c r="J55" s="8" t="inlineStr"/>
    </row>
    <row r="56">
      <c r="B56" s="9" t="inlineStr">
        <is>
          <t>FE-051</t>
        </is>
      </c>
      <c r="C56" s="8" t="inlineStr">
        <is>
          <t>DHCP</t>
        </is>
      </c>
      <c r="D56" s="12" t="inlineStr">
        <is>
          <t>DHCP</t>
        </is>
      </c>
      <c r="E56" s="8" t="inlineStr">
        <is>
          <t>Dynamic Host Configuration Protocol</t>
        </is>
      </c>
      <c r="F56" s="8" t="inlineStr">
        <is>
          <t>Giao thức cấp phát IP động DHCP (Tự động gán IP và cấu hình mạng cho thiết bị)</t>
        </is>
      </c>
      <c r="G56" s="8" t="inlineStr">
        <is>
          <t>テクノロジ系 - ネットワーク</t>
        </is>
      </c>
      <c r="H56" s="9" t="inlineStr">
        <is>
          <t>⭐⭐⭐</t>
        </is>
      </c>
      <c r="I56" s="9" t="inlineStr">
        <is>
          <t>未</t>
        </is>
      </c>
      <c r="J56" s="8" t="inlineStr"/>
    </row>
    <row r="57">
      <c r="B57" s="9" t="inlineStr">
        <is>
          <t>FE-052</t>
        </is>
      </c>
      <c r="C57" s="8" t="inlineStr">
        <is>
          <t>MACアドレス</t>
        </is>
      </c>
      <c r="D57" s="12" t="inlineStr">
        <is>
          <t>MACアドレス</t>
        </is>
      </c>
      <c r="E57" s="8" t="inlineStr">
        <is>
          <t>MAC Address</t>
        </is>
      </c>
      <c r="F57" s="8" t="inlineStr">
        <is>
          <t>MAC Address</t>
        </is>
      </c>
      <c r="G57" s="8" t="inlineStr">
        <is>
          <t>テクノロジ系 - ネットワーク</t>
        </is>
      </c>
      <c r="H57" s="9" t="inlineStr">
        <is>
          <t>⭐⭐</t>
        </is>
      </c>
      <c r="I57" s="9" t="inlineStr">
        <is>
          <t>未</t>
        </is>
      </c>
      <c r="J57" s="8" t="inlineStr"/>
    </row>
    <row r="58">
      <c r="B58" s="9" t="inlineStr">
        <is>
          <t>FE-053</t>
        </is>
      </c>
      <c r="C58" s="8" t="inlineStr">
        <is>
          <t>ポート番号</t>
        </is>
      </c>
      <c r="D58" s="12" t="inlineStr">
        <is>
          <t>ポートばんごう</t>
        </is>
      </c>
      <c r="E58" s="8" t="inlineStr">
        <is>
          <t>Port Number</t>
        </is>
      </c>
      <c r="F58" s="8" t="inlineStr">
        <is>
          <t>port number</t>
        </is>
      </c>
      <c r="G58" s="8" t="inlineStr">
        <is>
          <t>テクノロジ系 - ネットワーク</t>
        </is>
      </c>
      <c r="H58" s="9" t="inlineStr">
        <is>
          <t>⭐⭐⭐</t>
        </is>
      </c>
      <c r="I58" s="9" t="inlineStr">
        <is>
          <t>未</t>
        </is>
      </c>
      <c r="J58" s="8" t="inlineStr"/>
    </row>
    <row r="59">
      <c r="B59" s="9" t="inlineStr">
        <is>
          <t>FE-054</t>
        </is>
      </c>
      <c r="C59" s="8" t="inlineStr">
        <is>
          <t>TCP/IP</t>
        </is>
      </c>
      <c r="D59" s="12" t="inlineStr">
        <is>
          <t>TCP/IP</t>
        </is>
      </c>
      <c r="E59" s="8" t="inlineStr">
        <is>
          <t>TCP/IP Protocol Suite</t>
        </is>
      </c>
      <c r="F59" s="8" t="inlineStr">
        <is>
          <t>TCP/IP Protocol Suite</t>
        </is>
      </c>
      <c r="G59" s="8" t="inlineStr">
        <is>
          <t>テクノロジ系 - ネットワーク</t>
        </is>
      </c>
      <c r="H59" s="9" t="inlineStr">
        <is>
          <t>⭐⭐⭐</t>
        </is>
      </c>
      <c r="I59" s="9" t="inlineStr">
        <is>
          <t>未</t>
        </is>
      </c>
      <c r="J59" s="8" t="inlineStr"/>
    </row>
    <row r="60">
      <c r="B60" s="9" t="inlineStr">
        <is>
          <t>FE-055</t>
        </is>
      </c>
      <c r="C60" s="8" t="inlineStr">
        <is>
          <t>情報セキュリティ</t>
        </is>
      </c>
      <c r="D60" s="12" t="inlineStr">
        <is>
          <t>じょうほうセキュリティ</t>
        </is>
      </c>
      <c r="E60" s="8" t="inlineStr">
        <is>
          <t>Information Security (CIA)</t>
        </is>
      </c>
      <c r="F60" s="8" t="inlineStr">
        <is>
          <t>An toàn thông tin (Đảm bảo 3 yếu tố CIA: Confidentiality, Integrity, Availability)</t>
        </is>
      </c>
      <c r="G60" s="8" t="inlineStr">
        <is>
          <t>テクノロジ系 - セキュリティ</t>
        </is>
      </c>
      <c r="H60" s="9" t="inlineStr">
        <is>
          <t>⭐⭐⭐</t>
        </is>
      </c>
      <c r="I60" s="9" t="inlineStr">
        <is>
          <t>未</t>
        </is>
      </c>
      <c r="J60" s="8" t="inlineStr"/>
    </row>
    <row r="61">
      <c r="B61" s="9" t="inlineStr">
        <is>
          <t>FE-056</t>
        </is>
      </c>
      <c r="C61" s="8" t="inlineStr">
        <is>
          <t>機密性</t>
        </is>
      </c>
      <c r="D61" s="12" t="inlineStr">
        <is>
          <t>きみつせい</t>
        </is>
      </c>
      <c r="E61" s="8" t="inlineStr">
        <is>
          <t>Confidentiality</t>
        </is>
      </c>
      <c r="F61" s="8" t="inlineStr">
        <is>
          <t>bí mật, cơ mật; bảo mật</t>
        </is>
      </c>
      <c r="G61" s="8" t="inlineStr">
        <is>
          <t>テクノロジ系 - セキュリティ</t>
        </is>
      </c>
      <c r="H61" s="9" t="inlineStr">
        <is>
          <t>⭐⭐⭐</t>
        </is>
      </c>
      <c r="I61" s="9" t="inlineStr">
        <is>
          <t>未</t>
        </is>
      </c>
      <c r="J61" s="8" t="inlineStr"/>
    </row>
    <row r="62">
      <c r="B62" s="9" t="inlineStr">
        <is>
          <t>FE-057</t>
        </is>
      </c>
      <c r="C62" s="8" t="inlineStr">
        <is>
          <t>完全性</t>
        </is>
      </c>
      <c r="D62" s="12" t="inlineStr">
        <is>
          <t>かんぜんせい</t>
        </is>
      </c>
      <c r="E62" s="8" t="inlineStr">
        <is>
          <t>Integrity</t>
        </is>
      </c>
      <c r="F62" s="8" t="inlineStr">
        <is>
          <t>integrity</t>
        </is>
      </c>
      <c r="G62" s="8" t="inlineStr">
        <is>
          <t>テクノロジ系 - セキュリティ</t>
        </is>
      </c>
      <c r="H62" s="9" t="inlineStr">
        <is>
          <t>⭐⭐⭐</t>
        </is>
      </c>
      <c r="I62" s="9" t="inlineStr">
        <is>
          <t>未</t>
        </is>
      </c>
      <c r="J62" s="8" t="inlineStr"/>
    </row>
    <row r="63">
      <c r="B63" s="9" t="inlineStr">
        <is>
          <t>FE-058</t>
        </is>
      </c>
      <c r="C63" s="8" t="inlineStr">
        <is>
          <t>可用性</t>
        </is>
      </c>
      <c r="D63" s="12" t="inlineStr">
        <is>
          <t>かようせい</t>
        </is>
      </c>
      <c r="E63" s="8" t="inlineStr">
        <is>
          <t>Availability</t>
        </is>
      </c>
      <c r="F63" s="8" t="inlineStr">
        <is>
          <t>tính sẵn sàng</t>
        </is>
      </c>
      <c r="G63" s="8" t="inlineStr">
        <is>
          <t>テクノロジ系 - セキュリティ</t>
        </is>
      </c>
      <c r="H63" s="9" t="inlineStr">
        <is>
          <t>⭐⭐⭐</t>
        </is>
      </c>
      <c r="I63" s="9" t="inlineStr">
        <is>
          <t>未</t>
        </is>
      </c>
      <c r="J63" s="8" t="inlineStr"/>
    </row>
    <row r="64">
      <c r="B64" s="9" t="inlineStr">
        <is>
          <t>FE-059</t>
        </is>
      </c>
      <c r="C64" s="8" t="inlineStr">
        <is>
          <t>脆弱性</t>
        </is>
      </c>
      <c r="D64" s="12" t="inlineStr">
        <is>
          <t>ぜいじゃくせい</t>
        </is>
      </c>
      <c r="E64" s="8" t="inlineStr">
        <is>
          <t>Vulnerability</t>
        </is>
      </c>
      <c r="F64" s="8" t="inlineStr">
        <is>
          <t>tính chất có thể bị tổn thương; tính chất có thể bị tấn công, tính chất có thể công kích được</t>
        </is>
      </c>
      <c r="G64" s="8" t="inlineStr">
        <is>
          <t>テクノロジ系 - セキュリティ</t>
        </is>
      </c>
      <c r="H64" s="9" t="inlineStr">
        <is>
          <t>⭐⭐⭐</t>
        </is>
      </c>
      <c r="I64" s="9" t="inlineStr">
        <is>
          <t>未</t>
        </is>
      </c>
      <c r="J64" s="8" t="inlineStr"/>
    </row>
    <row r="65">
      <c r="B65" s="9" t="inlineStr">
        <is>
          <t>FE-060</t>
        </is>
      </c>
      <c r="C65" s="8" t="inlineStr">
        <is>
          <t>共通鍵暗号</t>
        </is>
      </c>
      <c r="D65" s="12" t="inlineStr">
        <is>
          <t>共通鍵暗号</t>
        </is>
      </c>
      <c r="E65" s="8" t="inlineStr">
        <is>
          <t>Symmetric-Key Cryptography (AES)</t>
        </is>
      </c>
      <c r="F65" s="8" t="inlineStr">
        <is>
          <t>Mã hóa khóa đối xứng (Dùng chung 1 khóa để mã hóa và giải mã, thuật toán AES/DES)</t>
        </is>
      </c>
      <c r="G65" s="8" t="inlineStr">
        <is>
          <t>テクノロジ系 - セキュリティ</t>
        </is>
      </c>
      <c r="H65" s="9" t="inlineStr">
        <is>
          <t>⭐⭐⭐</t>
        </is>
      </c>
      <c r="I65" s="9" t="inlineStr">
        <is>
          <t>未</t>
        </is>
      </c>
      <c r="J65" s="8" t="inlineStr"/>
    </row>
    <row r="66">
      <c r="B66" s="9" t="inlineStr">
        <is>
          <t>FE-061</t>
        </is>
      </c>
      <c r="C66" s="8" t="inlineStr">
        <is>
          <t>公開鍵暗号</t>
        </is>
      </c>
      <c r="D66" s="12" t="inlineStr">
        <is>
          <t>こうかいかぎあんごう</t>
        </is>
      </c>
      <c r="E66" s="8" t="inlineStr">
        <is>
          <t>Public-Key Cryptography (RSA)</t>
        </is>
      </c>
      <c r="F66" s="8" t="inlineStr">
        <is>
          <t>Mã hóa khóa công khai bất đối xứng (Khóa công khai mã hóa, khóa bí mật giải mã, RSA/ECC)</t>
        </is>
      </c>
      <c r="G66" s="8" t="inlineStr">
        <is>
          <t>テクノロジ系 - セキュリティ</t>
        </is>
      </c>
      <c r="H66" s="9" t="inlineStr">
        <is>
          <t>⭐⭐⭐</t>
        </is>
      </c>
      <c r="I66" s="9" t="inlineStr">
        <is>
          <t>未</t>
        </is>
      </c>
      <c r="J66" s="8" t="inlineStr"/>
    </row>
    <row r="67">
      <c r="B67" s="9" t="inlineStr">
        <is>
          <t>FE-062</t>
        </is>
      </c>
      <c r="C67" s="8" t="inlineStr">
        <is>
          <t>公開鍵</t>
        </is>
      </c>
      <c r="D67" s="12" t="inlineStr">
        <is>
          <t>こうかいかぎ</t>
        </is>
      </c>
      <c r="E67" s="8" t="inlineStr">
        <is>
          <t>Public Key</t>
        </is>
      </c>
      <c r="F67" s="8" t="inlineStr">
        <is>
          <t>Khóa công khai (Public Key - Được công bố rộng rãi để người khác mã hóa gửi cho mình)</t>
        </is>
      </c>
      <c r="G67" s="8" t="inlineStr">
        <is>
          <t>テクノロジ系 - セキュリティ</t>
        </is>
      </c>
      <c r="H67" s="9" t="inlineStr">
        <is>
          <t>⭐⭐⭐</t>
        </is>
      </c>
      <c r="I67" s="9" t="inlineStr">
        <is>
          <t>未</t>
        </is>
      </c>
      <c r="J67" s="8" t="inlineStr"/>
    </row>
    <row r="68">
      <c r="B68" s="9" t="inlineStr">
        <is>
          <t>FE-063</t>
        </is>
      </c>
      <c r="C68" s="8" t="inlineStr">
        <is>
          <t>秘密鍵</t>
        </is>
      </c>
      <c r="D68" s="12" t="inlineStr">
        <is>
          <t>ひみつかぎ</t>
        </is>
      </c>
      <c r="E68" s="8" t="inlineStr">
        <is>
          <t>Private / Secret Key</t>
        </is>
      </c>
      <c r="F68" s="8" t="inlineStr">
        <is>
          <t>Khóa bí mật (Private Key - Lưu trữ tuyệt mật để giải mã hoặc tạo chữ ký điện tử)</t>
        </is>
      </c>
      <c r="G68" s="8" t="inlineStr">
        <is>
          <t>テクノロジ系 - セキュリティ</t>
        </is>
      </c>
      <c r="H68" s="9" t="inlineStr">
        <is>
          <t>⭐⭐⭐</t>
        </is>
      </c>
      <c r="I68" s="9" t="inlineStr">
        <is>
          <t>未</t>
        </is>
      </c>
      <c r="J68" s="8" t="inlineStr"/>
    </row>
    <row r="69">
      <c r="B69" s="9" t="inlineStr">
        <is>
          <t>FE-064</t>
        </is>
      </c>
      <c r="C69" s="8" t="inlineStr">
        <is>
          <t>ハッシュ関数</t>
        </is>
      </c>
      <c r="D69" s="12" t="inlineStr">
        <is>
          <t>ハッシュかんすう</t>
        </is>
      </c>
      <c r="E69" s="8" t="inlineStr">
        <is>
          <t>Hash Function (SHA-256)</t>
        </is>
      </c>
      <c r="F69" s="8" t="inlineStr">
        <is>
          <t>Hàm băm một chiều Hash (Tạo chuỗi băm cố định kiểm tra tính toàn vẹn, SHA-256)</t>
        </is>
      </c>
      <c r="G69" s="8" t="inlineStr">
        <is>
          <t>テクノロジ系 - セキュリティ</t>
        </is>
      </c>
      <c r="H69" s="9" t="inlineStr">
        <is>
          <t>⭐⭐⭐</t>
        </is>
      </c>
      <c r="I69" s="9" t="inlineStr">
        <is>
          <t>未</t>
        </is>
      </c>
      <c r="J69" s="8" t="inlineStr"/>
    </row>
    <row r="70">
      <c r="B70" s="9" t="inlineStr">
        <is>
          <t>FE-065</t>
        </is>
      </c>
      <c r="C70" s="8" t="inlineStr">
        <is>
          <t>デジタル署名</t>
        </is>
      </c>
      <c r="D70" s="12" t="inlineStr">
        <is>
          <t>デジタルしょめい</t>
        </is>
      </c>
      <c r="E70" s="8" t="inlineStr">
        <is>
          <t>Digital Signature</t>
        </is>
      </c>
      <c r="F70" s="8" t="inlineStr">
        <is>
          <t>Chữ ký điện tử (Dùng khóa bí mật của người gửi để ký, chứng minh nguồn gốc và chống chối bỏ)</t>
        </is>
      </c>
      <c r="G70" s="8" t="inlineStr">
        <is>
          <t>テクノロジ系 - セキュリティ</t>
        </is>
      </c>
      <c r="H70" s="9" t="inlineStr">
        <is>
          <t>⭐⭐⭐</t>
        </is>
      </c>
      <c r="I70" s="9" t="inlineStr">
        <is>
          <t>未</t>
        </is>
      </c>
      <c r="J70" s="8" t="inlineStr"/>
    </row>
    <row r="71">
      <c r="B71" s="9" t="inlineStr">
        <is>
          <t>FE-066</t>
        </is>
      </c>
      <c r="C71" s="8" t="inlineStr">
        <is>
          <t>認証局</t>
        </is>
      </c>
      <c r="D71" s="12" t="inlineStr">
        <is>
          <t>にんしょうきょく</t>
        </is>
      </c>
      <c r="E71" s="8" t="inlineStr">
        <is>
          <t>Certificate Authority (CA)</t>
        </is>
      </c>
      <c r="F71" s="8" t="inlineStr">
        <is>
          <t>Cơ quan chứng thực CA (Tổ chức cấp phát chứng chỉ số và bảo đảm tính xác thực của khóa công khai)</t>
        </is>
      </c>
      <c r="G71" s="8" t="inlineStr">
        <is>
          <t>テクノロジ系 - セキュリティ</t>
        </is>
      </c>
      <c r="H71" s="9" t="inlineStr">
        <is>
          <t>⭐⭐⭐</t>
        </is>
      </c>
      <c r="I71" s="9" t="inlineStr">
        <is>
          <t>未</t>
        </is>
      </c>
      <c r="J71" s="8" t="inlineStr"/>
    </row>
    <row r="72">
      <c r="B72" s="9" t="inlineStr">
        <is>
          <t>FE-067</t>
        </is>
      </c>
      <c r="C72" s="8" t="inlineStr">
        <is>
          <t>電子証明書</t>
        </is>
      </c>
      <c r="D72" s="12" t="inlineStr">
        <is>
          <t>電子証明書</t>
        </is>
      </c>
      <c r="E72" s="8" t="inlineStr">
        <is>
          <t>Digital Certificate</t>
        </is>
      </c>
      <c r="F72" s="8" t="inlineStr">
        <is>
          <t>Digital Certificate</t>
        </is>
      </c>
      <c r="G72" s="8" t="inlineStr">
        <is>
          <t>テクノロジ系 - セキュリティ</t>
        </is>
      </c>
      <c r="H72" s="9" t="inlineStr">
        <is>
          <t>⭐⭐⭐</t>
        </is>
      </c>
      <c r="I72" s="9" t="inlineStr">
        <is>
          <t>未</t>
        </is>
      </c>
      <c r="J72" s="8" t="inlineStr"/>
    </row>
    <row r="73">
      <c r="B73" s="9" t="inlineStr">
        <is>
          <t>FE-068</t>
        </is>
      </c>
      <c r="C73" s="8" t="inlineStr">
        <is>
          <t>多要素認証</t>
        </is>
      </c>
      <c r="D73" s="12" t="inlineStr">
        <is>
          <t>多要素認証</t>
        </is>
      </c>
      <c r="E73" s="8" t="inlineStr">
        <is>
          <t>Multi-Factor Authentication (MFA)</t>
        </is>
      </c>
      <c r="F73" s="8" t="inlineStr">
        <is>
          <t>Xác thực đa yếu tố MFA (Kết hợp ít nhất 2 trong 3 yếu tố: Tri thức, Sở hữu, Sinh trắc)</t>
        </is>
      </c>
      <c r="G73" s="8" t="inlineStr">
        <is>
          <t>テクノロジ系 - セキュリティ</t>
        </is>
      </c>
      <c r="H73" s="9" t="inlineStr">
        <is>
          <t>⭐⭐⭐</t>
        </is>
      </c>
      <c r="I73" s="9" t="inlineStr">
        <is>
          <t>未</t>
        </is>
      </c>
      <c r="J73" s="8" t="inlineStr"/>
    </row>
    <row r="74">
      <c r="B74" s="9" t="inlineStr">
        <is>
          <t>FE-069</t>
        </is>
      </c>
      <c r="C74" s="8" t="inlineStr">
        <is>
          <t>ファイアウォール</t>
        </is>
      </c>
      <c r="D74" s="12" t="inlineStr">
        <is>
          <t>ファイアウォール</t>
        </is>
      </c>
      <c r="E74" s="8" t="inlineStr">
        <is>
          <t>Firewall</t>
        </is>
      </c>
      <c r="F74" s="8" t="inlineStr">
        <is>
          <t>Tường lửa Firewall (Kiểm soát lưu lượng mạng dựa trên quy tắc lọc gói tin)</t>
        </is>
      </c>
      <c r="G74" s="8" t="inlineStr">
        <is>
          <t>テクノロジ系 - セキュリティ</t>
        </is>
      </c>
      <c r="H74" s="9" t="inlineStr">
        <is>
          <t>⭐⭐⭐</t>
        </is>
      </c>
      <c r="I74" s="9" t="inlineStr">
        <is>
          <t>未</t>
        </is>
      </c>
      <c r="J74" s="8" t="inlineStr"/>
    </row>
    <row r="75">
      <c r="B75" s="9" t="inlineStr">
        <is>
          <t>FE-070</t>
        </is>
      </c>
      <c r="C75" s="8" t="inlineStr">
        <is>
          <t>パケットフィルタリング</t>
        </is>
      </c>
      <c r="D75" s="12" t="inlineStr">
        <is>
          <t>パケット・フィルタリング</t>
        </is>
      </c>
      <c r="E75" s="8" t="inlineStr">
        <is>
          <t>Packet Filtering</t>
        </is>
      </c>
      <c r="F75" s="8" t="inlineStr">
        <is>
          <t>packet filtering</t>
        </is>
      </c>
      <c r="G75" s="8" t="inlineStr">
        <is>
          <t>テクノロジ系 - セキュリティ</t>
        </is>
      </c>
      <c r="H75" s="9" t="inlineStr">
        <is>
          <t>⭐⭐⭐</t>
        </is>
      </c>
      <c r="I75" s="9" t="inlineStr">
        <is>
          <t>未</t>
        </is>
      </c>
      <c r="J75" s="8" t="inlineStr"/>
    </row>
    <row r="76">
      <c r="B76" s="9" t="inlineStr">
        <is>
          <t>FE-071</t>
        </is>
      </c>
      <c r="C76" s="8" t="inlineStr">
        <is>
          <t>マルウェア</t>
        </is>
      </c>
      <c r="D76" s="12" t="inlineStr">
        <is>
          <t>マルウェア</t>
        </is>
      </c>
      <c r="E76" s="8" t="inlineStr">
        <is>
          <t>Malware</t>
        </is>
      </c>
      <c r="F76" s="8" t="inlineStr">
        <is>
          <t>malware</t>
        </is>
      </c>
      <c r="G76" s="8" t="inlineStr">
        <is>
          <t>テクノロジ系 - セキュリティ</t>
        </is>
      </c>
      <c r="H76" s="9" t="inlineStr">
        <is>
          <t>⭐⭐⭐</t>
        </is>
      </c>
      <c r="I76" s="9" t="inlineStr">
        <is>
          <t>未</t>
        </is>
      </c>
      <c r="J76" s="8" t="inlineStr"/>
    </row>
    <row r="77">
      <c r="B77" s="9" t="inlineStr">
        <is>
          <t>FE-072</t>
        </is>
      </c>
      <c r="C77" s="8" t="inlineStr">
        <is>
          <t>ランサムウェア</t>
        </is>
      </c>
      <c r="D77" s="12" t="inlineStr">
        <is>
          <t>ランサムウェア</t>
        </is>
      </c>
      <c r="E77" s="8" t="inlineStr">
        <is>
          <t>Ransomware</t>
        </is>
      </c>
      <c r="F77" s="8" t="inlineStr">
        <is>
          <t>Ransomware</t>
        </is>
      </c>
      <c r="G77" s="8" t="inlineStr">
        <is>
          <t>テクノロジ系 - セキュリティ</t>
        </is>
      </c>
      <c r="H77" s="9" t="inlineStr">
        <is>
          <t>⭐⭐⭐</t>
        </is>
      </c>
      <c r="I77" s="9" t="inlineStr">
        <is>
          <t>未</t>
        </is>
      </c>
      <c r="J77" s="8" t="inlineStr"/>
    </row>
    <row r="78">
      <c r="B78" s="9" t="inlineStr">
        <is>
          <t>FE-073</t>
        </is>
      </c>
      <c r="C78" s="8" t="inlineStr">
        <is>
          <t>フィッシング</t>
        </is>
      </c>
      <c r="D78" s="12" t="inlineStr">
        <is>
          <t>フィッシング</t>
        </is>
      </c>
      <c r="E78" s="8" t="inlineStr">
        <is>
          <t>Phishing</t>
        </is>
      </c>
      <c r="F78" s="8" t="inlineStr">
        <is>
          <t>fishing; phishing</t>
        </is>
      </c>
      <c r="G78" s="8" t="inlineStr">
        <is>
          <t>テクノロジ系 - セキュリティ</t>
        </is>
      </c>
      <c r="H78" s="9" t="inlineStr">
        <is>
          <t>⭐⭐⭐</t>
        </is>
      </c>
      <c r="I78" s="9" t="inlineStr">
        <is>
          <t>未</t>
        </is>
      </c>
      <c r="J78" s="8" t="inlineStr"/>
    </row>
    <row r="79">
      <c r="B79" s="9" t="inlineStr">
        <is>
          <t>FE-074</t>
        </is>
      </c>
      <c r="C79" s="8" t="inlineStr">
        <is>
          <t>SQLインジェクション</t>
        </is>
      </c>
      <c r="D79" s="12" t="inlineStr">
        <is>
          <t>SQLインジェクション</t>
        </is>
      </c>
      <c r="E79" s="8" t="inlineStr">
        <is>
          <t>SQL Injection</t>
        </is>
      </c>
      <c r="F79" s="8" t="inlineStr">
        <is>
          <t>Tấn công SQL Injection (Chèn câu lệnh SQL độc hại qua ô nhập liệu của người dùng)</t>
        </is>
      </c>
      <c r="G79" s="8" t="inlineStr">
        <is>
          <t>テクノロジ系 - セキュリティ</t>
        </is>
      </c>
      <c r="H79" s="9" t="inlineStr">
        <is>
          <t>⭐⭐⭐</t>
        </is>
      </c>
      <c r="I79" s="9" t="inlineStr">
        <is>
          <t>未</t>
        </is>
      </c>
      <c r="J79" s="8" t="inlineStr"/>
    </row>
    <row r="80">
      <c r="B80" s="9" t="inlineStr">
        <is>
          <t>FE-075</t>
        </is>
      </c>
      <c r="C80" s="8" t="inlineStr">
        <is>
          <t>クロスサイトスクリプティング</t>
        </is>
      </c>
      <c r="D80" s="12" t="inlineStr">
        <is>
          <t>クロスサイトスクリプティング</t>
        </is>
      </c>
      <c r="E80" s="8" t="inlineStr">
        <is>
          <t>Cross-Site Scripting (XSS)</t>
        </is>
      </c>
      <c r="F80" s="8" t="inlineStr">
        <is>
          <t>Tấn công XSS (Chèn mã kịch bản độc hại JavaScript thực thi trên trình duyệt nạn nhân)</t>
        </is>
      </c>
      <c r="G80" s="8" t="inlineStr">
        <is>
          <t>テクノロジ系 - セキュリティ</t>
        </is>
      </c>
      <c r="H80" s="9" t="inlineStr">
        <is>
          <t>⭐⭐⭐</t>
        </is>
      </c>
      <c r="I80" s="9" t="inlineStr">
        <is>
          <t>未</t>
        </is>
      </c>
      <c r="J80" s="8" t="inlineStr"/>
    </row>
    <row r="81">
      <c r="B81" s="9" t="inlineStr">
        <is>
          <t>FE-076</t>
        </is>
      </c>
      <c r="C81" s="8" t="inlineStr">
        <is>
          <t>DoS攻撃</t>
        </is>
      </c>
      <c r="D81" s="12" t="inlineStr">
        <is>
          <t>DoS攻撃</t>
        </is>
      </c>
      <c r="E81" s="8" t="inlineStr">
        <is>
          <t>Denial of Service (DoS/DDoS)</t>
        </is>
      </c>
      <c r="F81" s="8" t="inlineStr">
        <is>
          <t>Denial of Service (DoS/DDoS)</t>
        </is>
      </c>
      <c r="G81" s="8" t="inlineStr">
        <is>
          <t>テクノロジ系 - セキュリティ</t>
        </is>
      </c>
      <c r="H81" s="9" t="inlineStr">
        <is>
          <t>⭐⭐⭐</t>
        </is>
      </c>
      <c r="I81" s="9" t="inlineStr">
        <is>
          <t>未</t>
        </is>
      </c>
      <c r="J81" s="8" t="inlineStr"/>
    </row>
    <row r="82">
      <c r="B82" s="9" t="inlineStr">
        <is>
          <t>FE-077</t>
        </is>
      </c>
      <c r="C82" s="8" t="inlineStr">
        <is>
          <t>ソーシャルエンジニアリング</t>
        </is>
      </c>
      <c r="D82" s="12" t="inlineStr">
        <is>
          <t>ソーシャル・エンジニアリング</t>
        </is>
      </c>
      <c r="E82" s="8" t="inlineStr">
        <is>
          <t>Social Engineering</t>
        </is>
      </c>
      <c r="F82" s="8" t="inlineStr">
        <is>
          <t>social engineering</t>
        </is>
      </c>
      <c r="G82" s="8" t="inlineStr">
        <is>
          <t>テクノロジ系 - セキュリティ</t>
        </is>
      </c>
      <c r="H82" s="9" t="inlineStr">
        <is>
          <t>⭐⭐⭐</t>
        </is>
      </c>
      <c r="I82" s="9" t="inlineStr">
        <is>
          <t>未</t>
        </is>
      </c>
      <c r="J82" s="8" t="inlineStr"/>
    </row>
    <row r="83">
      <c r="B83" s="9" t="inlineStr">
        <is>
          <t>FE-078</t>
        </is>
      </c>
      <c r="C83" s="8" t="inlineStr">
        <is>
          <t>標的型攻撃</t>
        </is>
      </c>
      <c r="D83" s="12" t="inlineStr">
        <is>
          <t>標的型攻撃</t>
        </is>
      </c>
      <c r="E83" s="8" t="inlineStr">
        <is>
          <t>Targeted Attack / APT</t>
        </is>
      </c>
      <c r="F83" s="8" t="inlineStr">
        <is>
          <t>Targeted Attack / APT</t>
        </is>
      </c>
      <c r="G83" s="8" t="inlineStr">
        <is>
          <t>テクノロジ系 - セキュリティ</t>
        </is>
      </c>
      <c r="H83" s="9" t="inlineStr">
        <is>
          <t>⭐⭐⭐</t>
        </is>
      </c>
      <c r="I83" s="9" t="inlineStr">
        <is>
          <t>未</t>
        </is>
      </c>
      <c r="J83" s="8" t="inlineStr"/>
    </row>
    <row r="84">
      <c r="B84" s="9" t="inlineStr">
        <is>
          <t>FE-079</t>
        </is>
      </c>
      <c r="C84" s="8" t="inlineStr">
        <is>
          <t>ゼロデイ攻撃</t>
        </is>
      </c>
      <c r="D84" s="12" t="inlineStr">
        <is>
          <t>ゼロデイ攻撃</t>
        </is>
      </c>
      <c r="E84" s="8" t="inlineStr">
        <is>
          <t>Zero-Day Attack</t>
        </is>
      </c>
      <c r="F84" s="8" t="inlineStr">
        <is>
          <t>Zero-Day Attack</t>
        </is>
      </c>
      <c r="G84" s="8" t="inlineStr">
        <is>
          <t>テクノロジ系 - セキュリティ</t>
        </is>
      </c>
      <c r="H84" s="9" t="inlineStr">
        <is>
          <t>⭐⭐⭐</t>
        </is>
      </c>
      <c r="I84" s="9" t="inlineStr">
        <is>
          <t>未</t>
        </is>
      </c>
      <c r="J84" s="8" t="inlineStr"/>
    </row>
    <row r="85">
      <c r="B85" s="9" t="inlineStr">
        <is>
          <t>FE-080</t>
        </is>
      </c>
      <c r="C85" s="8" t="inlineStr">
        <is>
          <t>プロジェクトマネジメント</t>
        </is>
      </c>
      <c r="D85" s="12" t="inlineStr">
        <is>
          <t>プロジェクトマネジメント</t>
        </is>
      </c>
      <c r="E85" s="8" t="inlineStr">
        <is>
          <t>Project Management</t>
        </is>
      </c>
      <c r="F85" s="8" t="inlineStr">
        <is>
          <t>Project Management</t>
        </is>
      </c>
      <c r="G85" s="8" t="inlineStr">
        <is>
          <t>マネジメント系 - プロジェクト</t>
        </is>
      </c>
      <c r="H85" s="9" t="inlineStr">
        <is>
          <t>⭐⭐⭐</t>
        </is>
      </c>
      <c r="I85" s="9" t="inlineStr">
        <is>
          <t>未</t>
        </is>
      </c>
      <c r="J85" s="8" t="inlineStr"/>
    </row>
    <row r="86">
      <c r="B86" s="9" t="inlineStr">
        <is>
          <t>FE-081</t>
        </is>
      </c>
      <c r="C86" s="8" t="inlineStr">
        <is>
          <t>WBS</t>
        </is>
      </c>
      <c r="D86" s="12" t="inlineStr">
        <is>
          <t>WBS</t>
        </is>
      </c>
      <c r="E86" s="8" t="inlineStr">
        <is>
          <t>Work Breakdown Structure</t>
        </is>
      </c>
      <c r="F86" s="8" t="inlineStr">
        <is>
          <t>Cơ cấu phân rã công việc WBS (Chia nhỏ dự án thành các gói công việc cụ thể)</t>
        </is>
      </c>
      <c r="G86" s="8" t="inlineStr">
        <is>
          <t>マネジメント系 - プロジェクト</t>
        </is>
      </c>
      <c r="H86" s="9" t="inlineStr">
        <is>
          <t>⭐⭐⭐</t>
        </is>
      </c>
      <c r="I86" s="9" t="inlineStr">
        <is>
          <t>未</t>
        </is>
      </c>
      <c r="J86" s="8" t="inlineStr"/>
    </row>
    <row r="87">
      <c r="B87" s="9" t="inlineStr">
        <is>
          <t>FE-082</t>
        </is>
      </c>
      <c r="C87" s="8" t="inlineStr">
        <is>
          <t>アローダイヤグラム</t>
        </is>
      </c>
      <c r="D87" s="12" t="inlineStr">
        <is>
          <t>アローダイヤグラム</t>
        </is>
      </c>
      <c r="E87" s="8" t="inlineStr">
        <is>
          <t>Arrow Diagram (PERT Chart)</t>
        </is>
      </c>
      <c r="F87" s="8" t="inlineStr">
        <is>
          <t>Arrow Diagram (PERT Chart)</t>
        </is>
      </c>
      <c r="G87" s="8" t="inlineStr">
        <is>
          <t>マネジメント系 - プロジェクト</t>
        </is>
      </c>
      <c r="H87" s="9" t="inlineStr">
        <is>
          <t>⭐⭐⭐</t>
        </is>
      </c>
      <c r="I87" s="9" t="inlineStr">
        <is>
          <t>未</t>
        </is>
      </c>
      <c r="J87" s="8" t="inlineStr"/>
    </row>
    <row r="88">
      <c r="B88" s="9" t="inlineStr">
        <is>
          <t>FE-083</t>
        </is>
      </c>
      <c r="C88" s="8" t="inlineStr">
        <is>
          <t>クリティカルパス</t>
        </is>
      </c>
      <c r="D88" s="12" t="inlineStr">
        <is>
          <t>クリティカル・パス</t>
        </is>
      </c>
      <c r="E88" s="8" t="inlineStr">
        <is>
          <t>Critical Path</t>
        </is>
      </c>
      <c r="F88" s="8" t="inlineStr">
        <is>
          <t>Đường găng Critical Path (Chuỗi công việc dài nhất quyết định tổng thời gian hoàn thành dự án)</t>
        </is>
      </c>
      <c r="G88" s="8" t="inlineStr">
        <is>
          <t>マネジメント系 - プロジェクト</t>
        </is>
      </c>
      <c r="H88" s="9" t="inlineStr">
        <is>
          <t>⭐⭐⭐</t>
        </is>
      </c>
      <c r="I88" s="9" t="inlineStr">
        <is>
          <t>未</t>
        </is>
      </c>
      <c r="J88" s="8" t="inlineStr"/>
    </row>
    <row r="89">
      <c r="B89" s="9" t="inlineStr">
        <is>
          <t>FE-084</t>
        </is>
      </c>
      <c r="C89" s="8" t="inlineStr">
        <is>
          <t>ガントチャート</t>
        </is>
      </c>
      <c r="D89" s="12" t="inlineStr">
        <is>
          <t>ガント・チャート</t>
        </is>
      </c>
      <c r="E89" s="8" t="inlineStr">
        <is>
          <t>Gantt Chart</t>
        </is>
      </c>
      <c r="F89" s="8" t="inlineStr">
        <is>
          <t>Gantt chart</t>
        </is>
      </c>
      <c r="G89" s="8" t="inlineStr">
        <is>
          <t>マネジメント系 - プロジェクト</t>
        </is>
      </c>
      <c r="H89" s="9" t="inlineStr">
        <is>
          <t>⭐⭐</t>
        </is>
      </c>
      <c r="I89" s="9" t="inlineStr">
        <is>
          <t>未</t>
        </is>
      </c>
      <c r="J89" s="8" t="inlineStr"/>
    </row>
    <row r="90">
      <c r="B90" s="9" t="inlineStr">
        <is>
          <t>FE-085</t>
        </is>
      </c>
      <c r="C90" s="8" t="inlineStr">
        <is>
          <t>ファンクションポイント法</t>
        </is>
      </c>
      <c r="D90" s="12" t="inlineStr">
        <is>
          <t>ファンクションポイント法</t>
        </is>
      </c>
      <c r="E90" s="8" t="inlineStr">
        <is>
          <t>Function Point Method</t>
        </is>
      </c>
      <c r="F90" s="8" t="inlineStr">
        <is>
          <t>Function Point Method</t>
        </is>
      </c>
      <c r="G90" s="8" t="inlineStr">
        <is>
          <t>マネジメント系 - プロジェクト</t>
        </is>
      </c>
      <c r="H90" s="9" t="inlineStr">
        <is>
          <t>⭐⭐⭐</t>
        </is>
      </c>
      <c r="I90" s="9" t="inlineStr">
        <is>
          <t>未</t>
        </is>
      </c>
      <c r="J90" s="8" t="inlineStr"/>
    </row>
    <row r="91">
      <c r="B91" s="9" t="inlineStr">
        <is>
          <t>FE-086</t>
        </is>
      </c>
      <c r="C91" s="8" t="inlineStr">
        <is>
          <t>サービスマネジメント</t>
        </is>
      </c>
      <c r="D91" s="12" t="inlineStr">
        <is>
          <t>サービスマネジメント</t>
        </is>
      </c>
      <c r="E91" s="8" t="inlineStr">
        <is>
          <t>IT Service Management (ITIL)</t>
        </is>
      </c>
      <c r="F91" s="8" t="inlineStr">
        <is>
          <t>IT Service Management (ITIL)</t>
        </is>
      </c>
      <c r="G91" s="8" t="inlineStr">
        <is>
          <t>マネジメント系 - サービス</t>
        </is>
      </c>
      <c r="H91" s="9" t="inlineStr">
        <is>
          <t>⭐⭐⭐</t>
        </is>
      </c>
      <c r="I91" s="9" t="inlineStr">
        <is>
          <t>未</t>
        </is>
      </c>
      <c r="J91" s="8" t="inlineStr"/>
    </row>
    <row r="92">
      <c r="B92" s="9" t="inlineStr">
        <is>
          <t>FE-087</t>
        </is>
      </c>
      <c r="C92" s="8" t="inlineStr">
        <is>
          <t>SLA</t>
        </is>
      </c>
      <c r="D92" s="12" t="inlineStr">
        <is>
          <t>SLA</t>
        </is>
      </c>
      <c r="E92" s="8" t="inlineStr">
        <is>
          <t>Service Level Agreement</t>
        </is>
      </c>
      <c r="F92" s="8" t="inlineStr">
        <is>
          <t>Thỏa thuận mức dịch vụ SLA (Cam kết giữa nhà cung cấp dịch vụ và khách hàng về uptime/chất lượng)</t>
        </is>
      </c>
      <c r="G92" s="8" t="inlineStr">
        <is>
          <t>マネジメント系 - サービス</t>
        </is>
      </c>
      <c r="H92" s="9" t="inlineStr">
        <is>
          <t>⭐⭐⭐</t>
        </is>
      </c>
      <c r="I92" s="9" t="inlineStr">
        <is>
          <t>未</t>
        </is>
      </c>
      <c r="J92" s="8" t="inlineStr"/>
    </row>
    <row r="93">
      <c r="B93" s="9" t="inlineStr">
        <is>
          <t>FE-088</t>
        </is>
      </c>
      <c r="C93" s="8" t="inlineStr">
        <is>
          <t>SLM</t>
        </is>
      </c>
      <c r="D93" s="12" t="inlineStr">
        <is>
          <t>SLM</t>
        </is>
      </c>
      <c r="E93" s="8" t="inlineStr">
        <is>
          <t>Service Level Management</t>
        </is>
      </c>
      <c r="F93" s="8" t="inlineStr">
        <is>
          <t>Service Level Management</t>
        </is>
      </c>
      <c r="G93" s="8" t="inlineStr">
        <is>
          <t>マネジメント系 - サービス</t>
        </is>
      </c>
      <c r="H93" s="9" t="inlineStr">
        <is>
          <t>⭐⭐</t>
        </is>
      </c>
      <c r="I93" s="9" t="inlineStr">
        <is>
          <t>未</t>
        </is>
      </c>
      <c r="J93" s="8" t="inlineStr"/>
    </row>
    <row r="94">
      <c r="B94" s="9" t="inlineStr">
        <is>
          <t>FE-089</t>
        </is>
      </c>
      <c r="C94" s="8" t="inlineStr">
        <is>
          <t>インシデント管理</t>
        </is>
      </c>
      <c r="D94" s="12" t="inlineStr">
        <is>
          <t>インシデント管理</t>
        </is>
      </c>
      <c r="E94" s="8" t="inlineStr">
        <is>
          <t>Incident Management</t>
        </is>
      </c>
      <c r="F94" s="8" t="inlineStr">
        <is>
          <t>Incident Management</t>
        </is>
      </c>
      <c r="G94" s="8" t="inlineStr">
        <is>
          <t>マネジメント系 - サービス</t>
        </is>
      </c>
      <c r="H94" s="9" t="inlineStr">
        <is>
          <t>⭐⭐⭐</t>
        </is>
      </c>
      <c r="I94" s="9" t="inlineStr">
        <is>
          <t>未</t>
        </is>
      </c>
      <c r="J94" s="8" t="inlineStr"/>
    </row>
    <row r="95">
      <c r="B95" s="9" t="inlineStr">
        <is>
          <t>FE-090</t>
        </is>
      </c>
      <c r="C95" s="8" t="inlineStr">
        <is>
          <t>問題管理</t>
        </is>
      </c>
      <c r="D95" s="12" t="inlineStr">
        <is>
          <t>問題管理</t>
        </is>
      </c>
      <c r="E95" s="8" t="inlineStr">
        <is>
          <t>Problem Management</t>
        </is>
      </c>
      <c r="F95" s="8" t="inlineStr">
        <is>
          <t>Problem Management</t>
        </is>
      </c>
      <c r="G95" s="8" t="inlineStr">
        <is>
          <t>マネジメント系 - サービス</t>
        </is>
      </c>
      <c r="H95" s="9" t="inlineStr">
        <is>
          <t>⭐⭐⭐</t>
        </is>
      </c>
      <c r="I95" s="9" t="inlineStr">
        <is>
          <t>未</t>
        </is>
      </c>
      <c r="J95" s="8" t="inlineStr"/>
    </row>
    <row r="96">
      <c r="B96" s="9" t="inlineStr">
        <is>
          <t>FE-091</t>
        </is>
      </c>
      <c r="C96" s="8" t="inlineStr">
        <is>
          <t>変更管理</t>
        </is>
      </c>
      <c r="D96" s="12" t="inlineStr">
        <is>
          <t>変更管理</t>
        </is>
      </c>
      <c r="E96" s="8" t="inlineStr">
        <is>
          <t>Change Management</t>
        </is>
      </c>
      <c r="F96" s="8" t="inlineStr">
        <is>
          <t>Change Management</t>
        </is>
      </c>
      <c r="G96" s="8" t="inlineStr">
        <is>
          <t>マネジメント系 - サービス</t>
        </is>
      </c>
      <c r="H96" s="9" t="inlineStr">
        <is>
          <t>⭐⭐</t>
        </is>
      </c>
      <c r="I96" s="9" t="inlineStr">
        <is>
          <t>未</t>
        </is>
      </c>
      <c r="J96" s="8" t="inlineStr"/>
    </row>
    <row r="97">
      <c r="B97" s="9" t="inlineStr">
        <is>
          <t>FE-092</t>
        </is>
      </c>
      <c r="C97" s="8" t="inlineStr">
        <is>
          <t>システム監査</t>
        </is>
      </c>
      <c r="D97" s="12" t="inlineStr">
        <is>
          <t>システムかんさ</t>
        </is>
      </c>
      <c r="E97" s="8" t="inlineStr">
        <is>
          <t>System Audit</t>
        </is>
      </c>
      <c r="F97" s="8" t="inlineStr">
        <is>
          <t>system auditing</t>
        </is>
      </c>
      <c r="G97" s="8" t="inlineStr">
        <is>
          <t>マネジメント系 - 監査</t>
        </is>
      </c>
      <c r="H97" s="9" t="inlineStr">
        <is>
          <t>⭐⭐⭐</t>
        </is>
      </c>
      <c r="I97" s="9" t="inlineStr">
        <is>
          <t>未</t>
        </is>
      </c>
      <c r="J97" s="8" t="inlineStr"/>
    </row>
    <row r="98">
      <c r="B98" s="9" t="inlineStr">
        <is>
          <t>FE-093</t>
        </is>
      </c>
      <c r="C98" s="8" t="inlineStr">
        <is>
          <t>経営戦略</t>
        </is>
      </c>
      <c r="D98" s="12" t="inlineStr">
        <is>
          <t>けいえいせんりゃく</t>
        </is>
      </c>
      <c r="E98" s="8" t="inlineStr">
        <is>
          <t>Corporate Strategy</t>
        </is>
      </c>
      <c r="F98" s="8" t="inlineStr">
        <is>
          <t>chiến lược quản lý</t>
        </is>
      </c>
      <c r="G98" s="8" t="inlineStr">
        <is>
          <t>ストラテジ系 - 経営</t>
        </is>
      </c>
      <c r="H98" s="9" t="inlineStr">
        <is>
          <t>⭐⭐⭐</t>
        </is>
      </c>
      <c r="I98" s="9" t="inlineStr">
        <is>
          <t>未</t>
        </is>
      </c>
      <c r="J98" s="8" t="inlineStr"/>
    </row>
    <row r="99">
      <c r="B99" s="9" t="inlineStr">
        <is>
          <t>FE-094</t>
        </is>
      </c>
      <c r="C99" s="8" t="inlineStr">
        <is>
          <t>SWOT分析</t>
        </is>
      </c>
      <c r="D99" s="12" t="inlineStr">
        <is>
          <t>SWOT分析</t>
        </is>
      </c>
      <c r="E99" s="8" t="inlineStr">
        <is>
          <t>SWOT Analysis</t>
        </is>
      </c>
      <c r="F99" s="8" t="inlineStr">
        <is>
          <t>Phân tích SWOT (Đánh giá Điểm mạnh S, Điểm yếu W, Cơ hội O, Thách thức T)</t>
        </is>
      </c>
      <c r="G99" s="8" t="inlineStr">
        <is>
          <t>ストラテジ系 - 経営</t>
        </is>
      </c>
      <c r="H99" s="9" t="inlineStr">
        <is>
          <t>⭐⭐⭐</t>
        </is>
      </c>
      <c r="I99" s="9" t="inlineStr">
        <is>
          <t>未</t>
        </is>
      </c>
      <c r="J99" s="8" t="inlineStr"/>
    </row>
    <row r="100">
      <c r="B100" s="9" t="inlineStr">
        <is>
          <t>FE-095</t>
        </is>
      </c>
      <c r="C100" s="8" t="inlineStr">
        <is>
          <t>PPM</t>
        </is>
      </c>
      <c r="D100" s="12" t="inlineStr">
        <is>
          <t>PPM</t>
        </is>
      </c>
      <c r="E100" s="8" t="inlineStr">
        <is>
          <t>Product Portfolio Management</t>
        </is>
      </c>
      <c r="F100" s="8" t="inlineStr">
        <is>
          <t>Product Portfolio Management</t>
        </is>
      </c>
      <c r="G100" s="8" t="inlineStr">
        <is>
          <t>ストラテジ系 - 経営</t>
        </is>
      </c>
      <c r="H100" s="9" t="inlineStr">
        <is>
          <t>⭐⭐⭐</t>
        </is>
      </c>
      <c r="I100" s="9" t="inlineStr">
        <is>
          <t>未</t>
        </is>
      </c>
      <c r="J100" s="8" t="inlineStr"/>
    </row>
    <row r="101">
      <c r="B101" s="9" t="inlineStr">
        <is>
          <t>FE-096</t>
        </is>
      </c>
      <c r="C101" s="8" t="inlineStr">
        <is>
          <t>BSC</t>
        </is>
      </c>
      <c r="D101" s="12" t="inlineStr">
        <is>
          <t>BSC</t>
        </is>
      </c>
      <c r="E101" s="8" t="inlineStr">
        <is>
          <t>Balanced Scorecard</t>
        </is>
      </c>
      <c r="F101" s="8" t="inlineStr">
        <is>
          <t>Balanced Scorecard</t>
        </is>
      </c>
      <c r="G101" s="8" t="inlineStr">
        <is>
          <t>ストラテジ系 - 経営</t>
        </is>
      </c>
      <c r="H101" s="9" t="inlineStr">
        <is>
          <t>⭐⭐⭐</t>
        </is>
      </c>
      <c r="I101" s="9" t="inlineStr">
        <is>
          <t>未</t>
        </is>
      </c>
      <c r="J101" s="8" t="inlineStr"/>
    </row>
    <row r="102">
      <c r="B102" s="9" t="inlineStr">
        <is>
          <t>FE-097</t>
        </is>
      </c>
      <c r="C102" s="8" t="inlineStr">
        <is>
          <t>KPI</t>
        </is>
      </c>
      <c r="D102" s="12" t="inlineStr">
        <is>
          <t>KPI</t>
        </is>
      </c>
      <c r="E102" s="8" t="inlineStr">
        <is>
          <t>Key Performance Indicator</t>
        </is>
      </c>
      <c r="F102" s="8" t="inlineStr">
        <is>
          <t>Key Performance Indicator</t>
        </is>
      </c>
      <c r="G102" s="8" t="inlineStr">
        <is>
          <t>ストラテジ系 - 経営</t>
        </is>
      </c>
      <c r="H102" s="9" t="inlineStr">
        <is>
          <t>⭐⭐⭐</t>
        </is>
      </c>
      <c r="I102" s="9" t="inlineStr">
        <is>
          <t>未</t>
        </is>
      </c>
      <c r="J102" s="8" t="inlineStr"/>
    </row>
    <row r="103">
      <c r="B103" s="9" t="inlineStr">
        <is>
          <t>FE-098</t>
        </is>
      </c>
      <c r="C103" s="8" t="inlineStr">
        <is>
          <t>CSF</t>
        </is>
      </c>
      <c r="D103" s="12" t="inlineStr">
        <is>
          <t>CSF</t>
        </is>
      </c>
      <c r="E103" s="8" t="inlineStr">
        <is>
          <t>Critical Success Factor</t>
        </is>
      </c>
      <c r="F103" s="8" t="inlineStr">
        <is>
          <t>Critical Success Factor</t>
        </is>
      </c>
      <c r="G103" s="8" t="inlineStr">
        <is>
          <t>ストラテジ系 - 経営</t>
        </is>
      </c>
      <c r="H103" s="9" t="inlineStr">
        <is>
          <t>⭐⭐</t>
        </is>
      </c>
      <c r="I103" s="9" t="inlineStr">
        <is>
          <t>未</t>
        </is>
      </c>
      <c r="J103" s="8" t="inlineStr"/>
    </row>
    <row r="104">
      <c r="B104" s="9" t="inlineStr">
        <is>
          <t>FE-099</t>
        </is>
      </c>
      <c r="C104" s="8" t="inlineStr">
        <is>
          <t>ROI</t>
        </is>
      </c>
      <c r="D104" s="12" t="inlineStr">
        <is>
          <t>ROI</t>
        </is>
      </c>
      <c r="E104" s="8" t="inlineStr">
        <is>
          <t>Return On Investment</t>
        </is>
      </c>
      <c r="F104" s="8" t="inlineStr">
        <is>
          <t>Return On Investment</t>
        </is>
      </c>
      <c r="G104" s="8" t="inlineStr">
        <is>
          <t>ストラテジ系 - 経営</t>
        </is>
      </c>
      <c r="H104" s="9" t="inlineStr">
        <is>
          <t>⭐⭐</t>
        </is>
      </c>
      <c r="I104" s="9" t="inlineStr">
        <is>
          <t>未</t>
        </is>
      </c>
      <c r="J104" s="8" t="inlineStr"/>
    </row>
    <row r="105">
      <c r="B105" s="9" t="inlineStr">
        <is>
          <t>FE-100</t>
        </is>
      </c>
      <c r="C105" s="8" t="inlineStr">
        <is>
          <t>損益分岐点</t>
        </is>
      </c>
      <c r="D105" s="12" t="inlineStr">
        <is>
          <t>そんえきぶんきてん</t>
        </is>
      </c>
      <c r="E105" s="8" t="inlineStr">
        <is>
          <t>Break-even Point</t>
        </is>
      </c>
      <c r="F105" s="8" t="inlineStr">
        <is>
          <t>Điểm hoà vốn</t>
        </is>
      </c>
      <c r="G105" s="8" t="inlineStr">
        <is>
          <t>ストラテジ系 - 経営</t>
        </is>
      </c>
      <c r="H105" s="9" t="inlineStr">
        <is>
          <t>⭐⭐⭐</t>
        </is>
      </c>
      <c r="I105" s="9" t="inlineStr">
        <is>
          <t>未</t>
        </is>
      </c>
      <c r="J105" s="8" t="inlineStr"/>
    </row>
    <row r="106">
      <c r="B106" s="9" t="inlineStr">
        <is>
          <t>FE-101</t>
        </is>
      </c>
      <c r="C106" s="8" t="inlineStr">
        <is>
          <t>デファクトスタンダード</t>
        </is>
      </c>
      <c r="D106" s="12" t="inlineStr">
        <is>
          <t>デ・ファクト・スタンダード</t>
        </is>
      </c>
      <c r="E106" s="8" t="inlineStr">
        <is>
          <t>De Facto Standard</t>
        </is>
      </c>
      <c r="F106" s="8" t="inlineStr">
        <is>
          <t>de facto standard</t>
        </is>
      </c>
      <c r="G106" s="8" t="inlineStr">
        <is>
          <t>ストラテジ系 - 経営</t>
        </is>
      </c>
      <c r="H106" s="9" t="inlineStr">
        <is>
          <t>⭐⭐</t>
        </is>
      </c>
      <c r="I106" s="9" t="inlineStr">
        <is>
          <t>未</t>
        </is>
      </c>
      <c r="J106" s="8" t="inlineStr"/>
    </row>
    <row r="107">
      <c r="B107" s="9" t="inlineStr">
        <is>
          <t>FE-102</t>
        </is>
      </c>
      <c r="C107" s="8" t="inlineStr">
        <is>
          <t>BPR</t>
        </is>
      </c>
      <c r="D107" s="12" t="inlineStr">
        <is>
          <t>BPR</t>
        </is>
      </c>
      <c r="E107" s="8" t="inlineStr">
        <is>
          <t>Business Process Reengineering</t>
        </is>
      </c>
      <c r="F107" s="8" t="inlineStr">
        <is>
          <t>Business Process Reengineering</t>
        </is>
      </c>
      <c r="G107" s="8" t="inlineStr">
        <is>
          <t>ストラテジ系 - 経営</t>
        </is>
      </c>
      <c r="H107" s="9" t="inlineStr">
        <is>
          <t>⭐⭐</t>
        </is>
      </c>
      <c r="I107" s="9" t="inlineStr">
        <is>
          <t>未</t>
        </is>
      </c>
      <c r="J107" s="8" t="inlineStr"/>
    </row>
    <row r="108">
      <c r="B108" s="9" t="inlineStr">
        <is>
          <t>FE-103</t>
        </is>
      </c>
      <c r="C108" s="8" t="inlineStr">
        <is>
          <t>ERP</t>
        </is>
      </c>
      <c r="D108" s="12" t="inlineStr">
        <is>
          <t>ERP</t>
        </is>
      </c>
      <c r="E108" s="8" t="inlineStr">
        <is>
          <t>Enterprise Resource Planning</t>
        </is>
      </c>
      <c r="F108" s="8" t="inlineStr">
        <is>
          <t>Enterprise Resource Planning</t>
        </is>
      </c>
      <c r="G108" s="8" t="inlineStr">
        <is>
          <t>ストラテジ系 - 経営</t>
        </is>
      </c>
      <c r="H108" s="9" t="inlineStr">
        <is>
          <t>⭐⭐</t>
        </is>
      </c>
      <c r="I108" s="9" t="inlineStr">
        <is>
          <t>未</t>
        </is>
      </c>
      <c r="J108" s="8" t="inlineStr"/>
    </row>
    <row r="109">
      <c r="B109" s="9" t="inlineStr">
        <is>
          <t>FE-104</t>
        </is>
      </c>
      <c r="C109" s="8" t="inlineStr">
        <is>
          <t>CRM</t>
        </is>
      </c>
      <c r="D109" s="12" t="inlineStr">
        <is>
          <t>CRM</t>
        </is>
      </c>
      <c r="E109" s="8" t="inlineStr">
        <is>
          <t>Customer Relationship Management</t>
        </is>
      </c>
      <c r="F109" s="8" t="inlineStr">
        <is>
          <t>Customer Relationship Management</t>
        </is>
      </c>
      <c r="G109" s="8" t="inlineStr">
        <is>
          <t>ストラテジ系 - 経営</t>
        </is>
      </c>
      <c r="H109" s="9" t="inlineStr">
        <is>
          <t>⭐⭐</t>
        </is>
      </c>
      <c r="I109" s="9" t="inlineStr">
        <is>
          <t>未</t>
        </is>
      </c>
      <c r="J109" s="8" t="inlineStr"/>
    </row>
    <row r="110">
      <c r="B110" s="9" t="inlineStr">
        <is>
          <t>FE-105</t>
        </is>
      </c>
      <c r="C110" s="8" t="inlineStr">
        <is>
          <t>SCM</t>
        </is>
      </c>
      <c r="D110" s="12" t="inlineStr">
        <is>
          <t>SCM</t>
        </is>
      </c>
      <c r="E110" s="8" t="inlineStr">
        <is>
          <t>Supply Chain Management</t>
        </is>
      </c>
      <c r="F110" s="8" t="inlineStr">
        <is>
          <t>Supply Chain Management</t>
        </is>
      </c>
      <c r="G110" s="8" t="inlineStr">
        <is>
          <t>ストラテジ系 - 経営</t>
        </is>
      </c>
      <c r="H110" s="9" t="inlineStr">
        <is>
          <t>⭐⭐</t>
        </is>
      </c>
      <c r="I110" s="9" t="inlineStr">
        <is>
          <t>未</t>
        </is>
      </c>
      <c r="J110" s="8" t="inlineStr"/>
    </row>
    <row r="111">
      <c r="B111" s="9" t="inlineStr">
        <is>
          <t>FE-106</t>
        </is>
      </c>
      <c r="C111" s="8" t="inlineStr">
        <is>
          <t>知的財産権</t>
        </is>
      </c>
      <c r="D111" s="12" t="inlineStr">
        <is>
          <t>ちてきざいさんけん</t>
        </is>
      </c>
      <c r="E111" s="8" t="inlineStr">
        <is>
          <t>Intellectual Property Rights</t>
        </is>
      </c>
      <c r="F111" s="8" t="inlineStr">
        <is>
          <t>intellectual property right</t>
        </is>
      </c>
      <c r="G111" s="8" t="inlineStr">
        <is>
          <t>ストラテジ系 - 法務</t>
        </is>
      </c>
      <c r="H111" s="9" t="inlineStr">
        <is>
          <t>⭐⭐⭐</t>
        </is>
      </c>
      <c r="I111" s="9" t="inlineStr">
        <is>
          <t>未</t>
        </is>
      </c>
      <c r="J111" s="8" t="inlineStr"/>
    </row>
    <row r="112">
      <c r="B112" s="9" t="inlineStr">
        <is>
          <t>FE-107</t>
        </is>
      </c>
      <c r="C112" s="8" t="inlineStr">
        <is>
          <t>著作権法</t>
        </is>
      </c>
      <c r="D112" s="12" t="inlineStr">
        <is>
          <t>ちょさくけんほう</t>
        </is>
      </c>
      <c r="E112" s="8" t="inlineStr">
        <is>
          <t>Copyright Act</t>
        </is>
      </c>
      <c r="F112" s="8" t="inlineStr">
        <is>
          <t>luật bản quyền</t>
        </is>
      </c>
      <c r="G112" s="8" t="inlineStr">
        <is>
          <t>ストラテジ系 - 法務</t>
        </is>
      </c>
      <c r="H112" s="9" t="inlineStr">
        <is>
          <t>⭐⭐⭐</t>
        </is>
      </c>
      <c r="I112" s="9" t="inlineStr">
        <is>
          <t>未</t>
        </is>
      </c>
      <c r="J112" s="8" t="inlineStr"/>
    </row>
    <row r="113">
      <c r="B113" s="9" t="inlineStr">
        <is>
          <t>FE-108</t>
        </is>
      </c>
      <c r="C113" s="8" t="inlineStr">
        <is>
          <t>特許権</t>
        </is>
      </c>
      <c r="D113" s="12" t="inlineStr">
        <is>
          <t>とっきょけん</t>
        </is>
      </c>
      <c r="E113" s="8" t="inlineStr">
        <is>
          <t>Patent Right</t>
        </is>
      </c>
      <c r="F113" s="8" t="inlineStr">
        <is>
          <t>quyền dùng bằng sáng chế; quyền dùng sáng chế</t>
        </is>
      </c>
      <c r="G113" s="8" t="inlineStr">
        <is>
          <t>ストラテジ系 - 法務</t>
        </is>
      </c>
      <c r="H113" s="9" t="inlineStr">
        <is>
          <t>⭐⭐⭐</t>
        </is>
      </c>
      <c r="I113" s="9" t="inlineStr">
        <is>
          <t>未</t>
        </is>
      </c>
      <c r="J113" s="8" t="inlineStr"/>
    </row>
    <row r="114">
      <c r="B114" s="9" t="inlineStr">
        <is>
          <t>FE-109</t>
        </is>
      </c>
      <c r="C114" s="8" t="inlineStr">
        <is>
          <t>個人情報保護法</t>
        </is>
      </c>
      <c r="D114" s="12" t="inlineStr">
        <is>
          <t>こじんじょうほうほごほう</t>
        </is>
      </c>
      <c r="E114" s="8" t="inlineStr">
        <is>
          <t>Act on the Protection of Personal Information</t>
        </is>
      </c>
      <c r="F114" s="8" t="inlineStr">
        <is>
          <t>Luật bảo vệ thông tin cá nhân Nhật Bản (Quy định lưu trữ, sử dụng và bảo mật dữ liệu người dùng)</t>
        </is>
      </c>
      <c r="G114" s="8" t="inlineStr">
        <is>
          <t>ストラテジ系 - 法務</t>
        </is>
      </c>
      <c r="H114" s="9" t="inlineStr">
        <is>
          <t>⭐⭐⭐</t>
        </is>
      </c>
      <c r="I114" s="9" t="inlineStr">
        <is>
          <t>未</t>
        </is>
      </c>
      <c r="J114" s="8" t="inlineStr"/>
    </row>
    <row r="115">
      <c r="B115" s="9" t="inlineStr">
        <is>
          <t>FE-110</t>
        </is>
      </c>
      <c r="C115" s="8" t="inlineStr">
        <is>
          <t>不正アクセス禁止法</t>
        </is>
      </c>
      <c r="D115" s="12" t="inlineStr">
        <is>
          <t>不正アクセス禁止法</t>
        </is>
      </c>
      <c r="E115" s="8" t="inlineStr">
        <is>
          <t>Unauthorized Computer Access Act</t>
        </is>
      </c>
      <c r="F115" s="8" t="inlineStr">
        <is>
          <t>Unauthorized Computer Access Act</t>
        </is>
      </c>
      <c r="G115" s="8" t="inlineStr">
        <is>
          <t>ストラテジ系 - 法務</t>
        </is>
      </c>
      <c r="H115" s="9" t="inlineStr">
        <is>
          <t>⭐⭐⭐</t>
        </is>
      </c>
      <c r="I115" s="9" t="inlineStr">
        <is>
          <t>未</t>
        </is>
      </c>
      <c r="J115" s="8" t="inlineStr"/>
    </row>
    <row r="116">
      <c r="B116" s="9" t="inlineStr">
        <is>
          <t>FE-111</t>
        </is>
      </c>
      <c r="C116" s="8" t="inlineStr">
        <is>
          <t>労働者派遣法</t>
        </is>
      </c>
      <c r="D116" s="12" t="inlineStr">
        <is>
          <t>ろうどうしゃはけんほう</t>
        </is>
      </c>
      <c r="E116" s="8" t="inlineStr">
        <is>
          <t>Worker Dispatching Act</t>
        </is>
      </c>
      <c r="F116" s="8" t="inlineStr">
        <is>
          <t>Luật lao động liên quan lĩnh vực phái cử</t>
        </is>
      </c>
      <c r="G116" s="8" t="inlineStr">
        <is>
          <t>ストラテジ系 - 法務</t>
        </is>
      </c>
      <c r="H116" s="9" t="inlineStr">
        <is>
          <t>⭐⭐⭐</t>
        </is>
      </c>
      <c r="I116" s="9" t="inlineStr">
        <is>
          <t>未</t>
        </is>
      </c>
      <c r="J116" s="8" t="inlineStr"/>
    </row>
    <row r="117">
      <c r="B117" s="9" t="inlineStr">
        <is>
          <t>FE-112</t>
        </is>
      </c>
      <c r="C117" s="8" t="inlineStr">
        <is>
          <t>請負契約</t>
        </is>
      </c>
      <c r="D117" s="12" t="inlineStr">
        <is>
          <t>請負契約</t>
        </is>
      </c>
      <c r="E117" s="8" t="inlineStr">
        <is>
          <t>Contract for Work (Ukeoi)</t>
        </is>
      </c>
      <c r="F117" s="8" t="inlineStr">
        <is>
          <t>Contract for Work (Ukeoi)</t>
        </is>
      </c>
      <c r="G117" s="8" t="inlineStr">
        <is>
          <t>ストラテジ系 - 法務</t>
        </is>
      </c>
      <c r="H117" s="9" t="inlineStr">
        <is>
          <t>⭐⭐⭐</t>
        </is>
      </c>
      <c r="I117" s="9" t="inlineStr">
        <is>
          <t>未</t>
        </is>
      </c>
      <c r="J117" s="8" t="inlineStr"/>
    </row>
    <row r="118">
      <c r="B118" s="9" t="inlineStr">
        <is>
          <t>FE-113</t>
        </is>
      </c>
      <c r="C118" s="8" t="inlineStr">
        <is>
          <t>準委任契約</t>
        </is>
      </c>
      <c r="D118" s="12" t="inlineStr">
        <is>
          <t>準委任契約</t>
        </is>
      </c>
      <c r="E118" s="8" t="inlineStr">
        <is>
          <t>Quasi-Mandate Contract (Jun-inin)</t>
        </is>
      </c>
      <c r="F118" s="8" t="inlineStr">
        <is>
          <t>Quasi-Mandate Contract (Jun-inin)</t>
        </is>
      </c>
      <c r="G118" s="8" t="inlineStr">
        <is>
          <t>ストラテジ系 - 法務</t>
        </is>
      </c>
      <c r="H118" s="9" t="inlineStr">
        <is>
          <t>⭐⭐⭐</t>
        </is>
      </c>
      <c r="I118" s="9" t="inlineStr">
        <is>
          <t>未</t>
        </is>
      </c>
      <c r="J118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1" customWidth="1" min="3" max="3"/>
    <col width="50" customWidth="1" min="4" max="4"/>
  </cols>
  <sheetData>
    <row r="1"/>
    <row r="2">
      <c r="B2" s="1" t="inlineStr">
        <is>
          <t>システム設定 &amp; 日本祝日一覧 (Master Parameters &amp; Holidays)</t>
        </is>
      </c>
    </row>
    <row r="3">
      <c r="B3" s="2" t="inlineStr">
        <is>
          <t>Bảng tham số chuẩn kỳ thi FE và lịch đỏ Nhật Bản năm 2026 - 2027</t>
        </is>
      </c>
    </row>
    <row r="4"/>
    <row r="5">
      <c r="B5" s="6" t="inlineStr">
        <is>
          <t>システム設定パラメータ (Tham số hệ thống)</t>
        </is>
      </c>
    </row>
    <row r="6">
      <c r="B6" s="8" t="inlineStr">
        <is>
          <t>目標総学習時間 (Tổng giờ học mục tiêu)</t>
        </is>
      </c>
      <c r="C6" s="22" t="n">
        <v>135</v>
      </c>
      <c r="D6" s="23" t="inlineStr">
        <is>
          <t>時間 (h) - Đủ để cày nát 3 cuốn sách và giải đề</t>
        </is>
      </c>
    </row>
    <row r="7">
      <c r="B7" s="8" t="inlineStr">
        <is>
          <t>合格基準スコア (Điểm đỗ tối thiểu IPA)</t>
        </is>
      </c>
      <c r="C7" s="22" t="n">
        <v>600</v>
      </c>
      <c r="D7" s="23" t="inlineStr">
        <is>
          <t>点 / 1000点 (Áp dụng cho CẢ HAI môn A và B)</t>
        </is>
      </c>
    </row>
    <row r="8">
      <c r="B8" s="8" t="inlineStr">
        <is>
          <t>安全圏目標スコア (Ngưỡng điểm an toàn)</t>
        </is>
      </c>
      <c r="C8" s="22" t="n">
        <v>700</v>
      </c>
      <c r="D8" s="23" t="inlineStr">
        <is>
          <t>点 / 1000点 (Đảm bảo đỗ chắc chắn không sợ sai số IRT)</t>
        </is>
      </c>
    </row>
    <row r="9">
      <c r="B9" s="8" t="inlineStr">
        <is>
          <t>平日1日目標 (Mục tiêu ngày thường)</t>
        </is>
      </c>
      <c r="C9" s="22" t="n">
        <v>1</v>
      </c>
      <c r="D9" s="23" t="inlineStr">
        <is>
          <t>時間/日 (Sau giờ làm việc tại nhà)</t>
        </is>
      </c>
    </row>
    <row r="10">
      <c r="B10" s="8" t="inlineStr">
        <is>
          <t>週末1日目標 (Mục tiêu cuối tuần)</t>
        </is>
      </c>
      <c r="C10" s="22" t="n">
        <v>2.5</v>
      </c>
      <c r="D10" s="23" t="inlineStr">
        <is>
          <t>時間/日 (Thứ 7 &amp; Chủ Nhật)</t>
        </is>
      </c>
    </row>
    <row r="11">
      <c r="B11" s="8" t="inlineStr">
        <is>
          <t>祝日1日目標 (Mục tiêu ngày nghỉ lễ đơn)</t>
        </is>
      </c>
      <c r="C11" s="22" t="n">
        <v>2.5</v>
      </c>
      <c r="D11" s="23" t="inlineStr">
        <is>
          <t>時間/日 (Các ngày lịch đỏ trong tuần)</t>
        </is>
      </c>
    </row>
    <row r="12">
      <c r="B12" s="8" t="inlineStr">
        <is>
          <t>キックスタート全休目標 (Tuần nghỉ 21-27/09)</t>
        </is>
      </c>
      <c r="C12" s="22" t="n">
        <v>2.5</v>
      </c>
      <c r="D12" s="23" t="inlineStr">
        <is>
          <t>時間/日 (7 ngày liên tục = ~18-21 giờ)</t>
        </is>
      </c>
    </row>
    <row r="13">
      <c r="B13" s="8" t="inlineStr">
        <is>
          <t>年末年始目標 (Tết 28/12 - 03/01)</t>
        </is>
      </c>
      <c r="C13" s="22" t="n">
        <v>3.5</v>
      </c>
      <c r="D13" s="23" t="inlineStr">
        <is>
          <t>時間/日 (7 ngày bứt tốc giải đề quá khứ)</t>
        </is>
      </c>
    </row>
    <row r="14">
      <c r="B14" s="8" t="inlineStr">
        <is>
          <t>受験料 (Lệ phí thi FE chính thức)</t>
        </is>
      </c>
      <c r="C14" s="22" t="n">
        <v>7500</v>
      </c>
      <c r="D14" s="23" t="inlineStr">
        <is>
          <t>円 (Đã bao gồm thuế)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2026-09-20T07:54:36Z</dcterms:created>
  <dcterms:modified xsi:type="dcterms:W3CDTF">2026-09-20T07:54:36Z</dcterms:modified>
</cp:coreProperties>
</file>